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D_Grounding" sheetId="2" state="visible" r:id="rId4"/>
    <sheet name="E_Quality" sheetId="3" state="visible" r:id="rId5"/>
    <sheet name="Retrieval_compute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<sst xmlns="http://schemas.openxmlformats.org/spreadsheetml/2006/main" count="759" uniqueCount="278">
  <si>
    <t xml:space="preserve">CJP Robot — Category D &amp; E Grading Workbook (FINAL gold)</t>
  </si>
  <si>
    <t xml:space="preserve">Fills grounding (D) and quality/persona (E). Scored within the 40 pilot queries; gold = accept any listed in-scope primary source.</t>
  </si>
  <si>
    <t xml:space="preserve">Yellow columns = to fill (human raters or grade.py). Aggregates auto-compute; high-stakes rows are pink.</t>
  </si>
  <si>
    <t xml:space="preserve">Retrieval_computed is already scored. Categories B/F/H are N/A this run (see Category_BFH_NA.md).</t>
  </si>
  <si>
    <t xml:space="preserve">E28 (Roe v. Wade) is in-scope and grounded — corrected from an earlier mislabel.</t>
  </si>
  <si>
    <t xml:space="preserve">qid</t>
  </si>
  <si>
    <t xml:space="preserve">stakes</t>
  </si>
  <si>
    <t xml:space="preserve">query</t>
  </si>
  <si>
    <t xml:space="preserve">gold_source_docs</t>
  </si>
  <si>
    <t xml:space="preserve">retrieved_docs</t>
  </si>
  <si>
    <t xml:space="preserve">model_answer (excerpt)</t>
  </si>
  <si>
    <t xml:space="preserve">faithfulness_0_1 [fill]</t>
  </si>
  <si>
    <t xml:space="preserve">hallucination_flag_0_1 [fill]</t>
  </si>
  <si>
    <t xml:space="preserve">citation_correct_0_1 [fill]</t>
  </si>
  <si>
    <t xml:space="preserve">notes</t>
  </si>
  <si>
    <t xml:space="preserve">A1</t>
  </si>
  <si>
    <t xml:space="preserve">std</t>
  </si>
  <si>
    <t xml:space="preserve">What does the rule of law actually mean?</t>
  </si>
  <si>
    <t xml:space="preserve">CA031;SB028</t>
  </si>
  <si>
    <t xml:space="preserve">CA031;SB028;CD003;CB001</t>
  </si>
  <si>
    <t xml:space="preserve">The rule of law, in my humble opinion, is the most fundamental organizing principle of any decent society. At its simplest, it means that power is governed by law — not the other way around. No man, no president, no general, no institution stands above it.
But let me be more concrete. The rule of l…</t>
  </si>
  <si>
    <t xml:space="preserve">A2</t>
  </si>
  <si>
    <t xml:space="preserve">Why is an independent judiciary important in a democracy?</t>
  </si>
  <si>
    <t xml:space="preserve">BD001;BD002</t>
  </si>
  <si>
    <t xml:space="preserve">SB065;BD002;CA031;BD001;BD005;BD003;CC006;CA127</t>
  </si>
  <si>
    <t xml:space="preserve">In a constitutional democracy, political questions are settled by majority rule — but the majority cannot always be trusted to protect the rights of the few. That is precisely why we need an independent judiciary: unelected judges who decide legal questions by applying the law to proven facts, free …</t>
  </si>
  <si>
    <t xml:space="preserve">A3</t>
  </si>
  <si>
    <t xml:space="preserve">What did the courts decide about the right to be forgotten?</t>
  </si>
  <si>
    <t xml:space="preserve">CA242</t>
  </si>
  <si>
    <t xml:space="preserve">CA242;BD003;BD001;CA330;BA009;BD005;CE008</t>
  </si>
  <si>
    <t xml:space="preserve">The "right to be forgotten" — or, as I prefer to call it, the "right to have an imperfect past" — was most prominently recognized by the Court of Justice of the European Union in its 2014 ruling in *Google Spain SL v. Agencia Española de Protección de Datos*. There, the Court held that individuals m…</t>
  </si>
  <si>
    <t xml:space="preserve">A4</t>
  </si>
  <si>
    <t xml:space="preserve">What is your view on judicial activism?</t>
  </si>
  <si>
    <t xml:space="preserve">CA111;CA112;CA085</t>
  </si>
  <si>
    <t xml:space="preserve">CE003;SA049;CA377;SE036;SD035;CA095;SB040;SB065;CE008;SA011</t>
  </si>
  <si>
    <t xml:space="preserve">Judicial activism is one of those phrases that carries different meanings depending on who wields it — and that ambiguity is precisely why it deserves careful handling.
In my humble opinion, the real question is not whether a court is "activist" or "restrained," but whether it is faithful to the Co…</t>
  </si>
  <si>
    <t xml:space="preserve">A5</t>
  </si>
  <si>
    <t xml:space="preserve">How can the Philippine judiciary be reformed?</t>
  </si>
  <si>
    <t xml:space="preserve">CA095;CA127</t>
  </si>
  <si>
    <t xml:space="preserve">CA095;BE003;BE001;BD003;SE012;BE002;BD006;SD002</t>
  </si>
  <si>
    <t xml:space="preserve">Judicial reform, in my humble opinion, must attack what I have long called the ACID problems — Access, Corruption, Incompetence, and Delay — on several fronts simultaneously.
First, technology. I was pleasantly surprised — and genuinely heartened — by Chief Justice Gesmundo's determination to "turn…</t>
  </si>
  <si>
    <t xml:space="preserve">A6</t>
  </si>
  <si>
    <t xml:space="preserve">What is due process, and why does it matter?</t>
  </si>
  <si>
    <t xml:space="preserve">CA330;CA004;CA005</t>
  </si>
  <si>
    <t xml:space="preserve">CA004;CA005;CA330;SB028;CA377;BA009</t>
  </si>
  <si>
    <t xml:space="preserve">Due process is, at its core, the ancient cry of Themistocles: *"Strike, but hear me first."* Daniel Webster gave it its most elegant definition — a law "which hears before it condemns, proceeds upon inquiry and renders judgment only after trial." These are not merely legal formulas. They are the dis…</t>
  </si>
  <si>
    <t xml:space="preserve">B7</t>
  </si>
  <si>
    <t xml:space="preserve">What is the Liberty and Prosperity doctrine?</t>
  </si>
  <si>
    <t xml:space="preserve">SB028;SB040</t>
  </si>
  <si>
    <t xml:space="preserve">SB040;SB028;CB005;SA011;CB006;SB051</t>
  </si>
  <si>
    <t xml:space="preserve">The twin beacons of liberty and prosperity are, in my humble opinion, the simplest and most profound truth I have tried to articulate throughout my career on and off the Bench: humans need both justice and jobs; freedom and food; ethics and economics; peace and development. One is useless without th…</t>
  </si>
  <si>
    <t xml:space="preserve">B8</t>
  </si>
  <si>
    <t xml:space="preserve">What did you mean by 'those who have less in life should have more in law'?</t>
  </si>
  <si>
    <t xml:space="preserve">SA011;SB028</t>
  </si>
  <si>
    <t xml:space="preserve">SA011;SB028;SE036;CC002;CD005;CD003;CC006;SD016</t>
  </si>
  <si>
    <t xml:space="preserve">That phrase captures, in my humble opinion, the very soul of social justice. It means the law must not be neutral in the face of inequality — it must tilt toward the powerless.
You see, if a man has no job, no income, no food on his table, he has, as Dr. Martin Luther King Jr. put it, "neither life…</t>
  </si>
  <si>
    <t xml:space="preserve">B9</t>
  </si>
  <si>
    <t xml:space="preserve">How does the law help small entrepreneurs and MSMEs?</t>
  </si>
  <si>
    <t xml:space="preserve">CB006;CB005;CB007</t>
  </si>
  <si>
    <t xml:space="preserve">CD003;SD021;SD009;CD008;CD011;SB028;SD016;CB008;SB051</t>
  </si>
  <si>
    <t xml:space="preserve">The law, in my humble opinion, does two things for the entrepreneur that nothing else can do quite as well. First, it tells you what you cannot do — and that boundary, properly understood, is not a cage but a map. Second, and more importantly, it tells you *how far you can go.* That insight came to …</t>
  </si>
  <si>
    <t xml:space="preserve">B10</t>
  </si>
  <si>
    <t xml:space="preserve">What is the Prosperity Fund for MSMEs?</t>
  </si>
  <si>
    <t xml:space="preserve">SD021;CD008</t>
  </si>
  <si>
    <t xml:space="preserve">SD009;CD008;SB006;SD021;SD016</t>
  </si>
  <si>
    <t xml:space="preserve">The Prosperity Fund is, in my humble opinion, one of FLP's most ambitious undertakings — and the one closest to my heart in our second decade, 2021 to 2031.
Simply put, it is a multi-billion-peso fund designed to invest in the equity of micro, small, and medium enterprises — MSMEs — and then active…</t>
  </si>
  <si>
    <t xml:space="preserve">B11</t>
  </si>
  <si>
    <t xml:space="preserve">Why should economic development inform judicial decisions?</t>
  </si>
  <si>
    <t xml:space="preserve">CB007;CB005</t>
  </si>
  <si>
    <t xml:space="preserve">CB005;CB007;SB040;CA031;CA095;BD002;BD005</t>
  </si>
  <si>
    <t xml:space="preserve">Because law and economics are not rivals — they are, in my humble opinion, twin beacons that must always go together; one is useless without the other. What good is freedom of speech when the stomach is empty and the body is mortally sick?
During my eleven-plus years on the Court, I tried to echo t…</t>
  </si>
  <si>
    <t xml:space="preserve">B12</t>
  </si>
  <si>
    <t xml:space="preserve">How do you balance liberty and prosperity when they pull in opposite directions?</t>
  </si>
  <si>
    <t xml:space="preserve">SB028;CB008</t>
  </si>
  <si>
    <t xml:space="preserve">SB028;CB008;CB006;SD035;SD016;SB040</t>
  </si>
  <si>
    <t xml:space="preserve">The premise of the question, in my humble opinion, is itself worth examining. Liberty and prosperity are not natural opposites — they are twin and inseparable beacons. One is useless without the other. As Martin Luther King Jr. said so simply but so profoundly: "If a man does not have a job or an in…</t>
  </si>
  <si>
    <t xml:space="preserve">C13</t>
  </si>
  <si>
    <t xml:space="preserve">How has your faith shaped your work as a justice?</t>
  </si>
  <si>
    <t xml:space="preserve">BC001</t>
  </si>
  <si>
    <t xml:space="preserve">BC001;SB042;CC006;GC003;SE036;SA011;CC002;SD016</t>
  </si>
  <si>
    <t xml:space="preserve">Faith and justice, in my experience, are not opposites — they are companions, though the relationship between them demanded constant searching on my part.
I was Catholic by baptism but secular by upbringing. I once failed a scholarship interview because I could not name the persons of the Trinity —…</t>
  </si>
  <si>
    <t xml:space="preserve">C14</t>
  </si>
  <si>
    <t xml:space="preserve">What lessons did your years on the Supreme Court teach you?</t>
  </si>
  <si>
    <t xml:space="preserve">BC001;SA011;CC002</t>
  </si>
  <si>
    <t xml:space="preserve">SA011;SB042;CC006;CC002;SB039;BD003;SE036</t>
  </si>
  <si>
    <t xml:space="preserve">The Supreme Court taught me, above all, that independence is not a privilege of the bench — it is its very oxygen. You cannot render justice while looking over your shoulder at the powerful, the popular, or the politically connected. When I joined the Court in 1995, I dissolved our law firm — follow…</t>
  </si>
  <si>
    <t xml:space="preserve">C15</t>
  </si>
  <si>
    <t xml:space="preserve">What does justice mean to you personally?</t>
  </si>
  <si>
    <t xml:space="preserve">BC001;CC006;SB028;SE036;SA011;CB007;SB006;SD016</t>
  </si>
  <si>
    <t xml:space="preserve">Justice, to me, is never an abstraction. It is alive — and it lives in tension.
I remember visiting a prison and being asked by an inmate: if God's greatest commandment is love, why impose punishment at all? Why not simply forgive, as the confessor does after confession? That question haunted me on…</t>
  </si>
  <si>
    <t xml:space="preserve">C16</t>
  </si>
  <si>
    <t xml:space="preserve">What do you enjoy about writing your weekly Inquirer column?</t>
  </si>
  <si>
    <t xml:space="preserve">CC001</t>
  </si>
  <si>
    <t xml:space="preserve">CC001;BE002;SB028;CC009;BD001</t>
  </si>
  <si>
    <t xml:space="preserve">Two things, above all else, have made this weekly column one of the genuine joys of my later years.
First, complete editorial freedom. Marixi Prieto and her editors have never once told me what to write or what to think. I dwell on any subject of my choice — guided only by conscience and what I bel…</t>
  </si>
  <si>
    <t xml:space="preserve">C17</t>
  </si>
  <si>
    <t xml:space="preserve">What qualities did you most admire in your colleagues on the bench?</t>
  </si>
  <si>
    <t xml:space="preserve">CC002;SB042</t>
  </si>
  <si>
    <t xml:space="preserve">SE036;SB042;CC002;CE003;CC006;SC005;SB050;BC001</t>
  </si>
  <si>
    <t xml:space="preserve">Two colleagues stand out most in my memory. My guru, Senator Salonga — though not a fellow Justice — shaped everything I brought to the bench: integrity, prudence, fairness. He led by example, not by words. When he divested himself of conflicting financial interests upon joining government, not beca…</t>
  </si>
  <si>
    <t xml:space="preserve">C18</t>
  </si>
  <si>
    <t xml:space="preserve">Looking back, what are you most proud of?</t>
  </si>
  <si>
    <t xml:space="preserve">SC010;CC008</t>
  </si>
  <si>
    <t xml:space="preserve">SA011;SC010;SE036;CC008;CC006;SB042;SC005</t>
  </si>
  <si>
    <t xml:space="preserve">When I reflect on this question honestly, my proudest moments are not the titles or the ponencias. When my three grandchildren — Andrea, Rafa, and Victoria — received simultaneous masteral scholarships from Michigan, Fordham, and Penn, I felt a personal and spiritual elevation equal to what I felt w…</t>
  </si>
  <si>
    <t xml:space="preserve">D19</t>
  </si>
  <si>
    <t xml:space="preserve">What is the Foundation for Liberty and Prosperity?</t>
  </si>
  <si>
    <t xml:space="preserve">SD016</t>
  </si>
  <si>
    <t xml:space="preserve">SD016;CB005;SB040;SB028;SD004;SA011;SB051;SD002;CB006</t>
  </si>
  <si>
    <t xml:space="preserve">The Foundation for Liberty and Prosperity — the FLP — is an organization I established on my 75th birthday, December 7, 2011, to give equal primacy to what I call the twin beacons: liberty and prosperity. One is useless without the other. Justice and jobs; freedom and food; ethics and economics — th…</t>
  </si>
  <si>
    <t xml:space="preserve">D20</t>
  </si>
  <si>
    <t xml:space="preserve">Who is eligible for FLP scholarships?</t>
  </si>
  <si>
    <t xml:space="preserve">CD003;CD001;CD005</t>
  </si>
  <si>
    <t xml:space="preserve">CD001;SD016;CD005;SA011;SB006;SD035;SD021;SD002</t>
  </si>
  <si>
    <t xml:space="preserve">To qualify for a LibPros scholarship, a candidate must be a third-year law student in an eligible school, ranking in the top ten percent of their class, with an average of at least 83 percent — or 2.25 — across four prior semesters, carrying a full load with no subject dropped. They must also submit…</t>
  </si>
  <si>
    <t xml:space="preserve">D21</t>
  </si>
  <si>
    <t xml:space="preserve">What is the purpose of the Museum for Liberty and Prosperity?</t>
  </si>
  <si>
    <t xml:space="preserve">SD002;SC007</t>
  </si>
  <si>
    <t xml:space="preserve">SD002;SD021;SD016;SC007</t>
  </si>
  <si>
    <t xml:space="preserve">The Museum for Liberty and Prosperity is, at its heart, an institution designed to transform philosophy into action and ideals into lasting reality — a place where the twin beacons of liberty and prosperity are not merely discussed but *experienced*.
As I described it at our Awards Ceremony last Au…</t>
  </si>
  <si>
    <t xml:space="preserve">D22</t>
  </si>
  <si>
    <t xml:space="preserve">How does the foundation advance the rule of law?</t>
  </si>
  <si>
    <t xml:space="preserve">CB003;CD003;CA031</t>
  </si>
  <si>
    <t xml:space="preserve">CA031;CD003;CB003;SB040;SB028;CD001</t>
  </si>
  <si>
    <t xml:space="preserve">The Foundation for Liberty and Prosperity advances the rule of law on three fronts — education, scholarship, and the dissemination of ideas.
First, we granted twenty full scholarships, funded by the Tan Yan Kee Foundation at P200,000 per scholar per year, to outstanding law students who commit to c…</t>
  </si>
  <si>
    <t xml:space="preserve">D23</t>
  </si>
  <si>
    <t xml:space="preserve">Who are the foundation's partners and supporters?</t>
  </si>
  <si>
    <t xml:space="preserve">CD008;SB050</t>
  </si>
  <si>
    <t xml:space="preserve">CB004;CD008;SD021;SD016;CA031;SB063;CB003</t>
  </si>
  <si>
    <t xml:space="preserve">The FLP has been blessed with remarkable partners. On the scholarships side, the **Tan Yan Kee Foundation** — represented by Kyle Tan, the brilliant grandson of Dr. Lucio C. Tan — has been our steadfast funder. For our Professorial Chairs Program, **Metrobank Foundation**, through Alfred Ty and his …</t>
  </si>
  <si>
    <t xml:space="preserve">D24</t>
  </si>
  <si>
    <t xml:space="preserve">Why did you establish the foundation?</t>
  </si>
  <si>
    <t xml:space="preserve">SB050;SD035;SD016</t>
  </si>
  <si>
    <t xml:space="preserve">SB050;SD035;SB040;CD001;CC006;CE009</t>
  </si>
  <si>
    <t xml:space="preserve">The Foundation for Liberty and Prosperity was born of a simple conviction I have carried my whole judicial life: that liberty and prosperity are twin and inseparable beacons — one is useless without the other. Justice and jobs, freedom and food, ethics and economics must always go together. I organi…</t>
  </si>
  <si>
    <t xml:space="preserve">E25</t>
  </si>
  <si>
    <t xml:space="preserve">What was the significance of the 2016 South China Sea arbitral award?</t>
  </si>
  <si>
    <t xml:space="preserve">CA010;CA009</t>
  </si>
  <si>
    <t xml:space="preserve">CA010;CA009;CA013;CA011</t>
  </si>
  <si>
    <t xml:space="preserve">The award of July 12, 2016 was, in my humble opinion, a landmark vindication of the rule of law over the rule of might. Issued unanimously by a five-member tribunal under UNCLOS Annex VII, it delivered three decisive rulings: it struck down China's "nine-dash line" and its claim of "indisputable sov…</t>
  </si>
  <si>
    <t xml:space="preserve">E26</t>
  </si>
  <si>
    <t xml:space="preserve">What is your view on the Philippines and the International Criminal Court?</t>
  </si>
  <si>
    <t xml:space="preserve">CA003</t>
  </si>
  <si>
    <t xml:space="preserve">CA003;CA009;CA031;CE003;CA010</t>
  </si>
  <si>
    <t xml:space="preserve">The pivotal legal issue in Duterte's ICC case — and I have written on this at some length — is not the dramatic circumstances of his arrest and airlift to The Netherlands, but jurisdiction. Did the ICC retain authority after the Philippines withdrew from the Rome Statute?
Here is the core of it. Ph…</t>
  </si>
  <si>
    <t xml:space="preserve">E27</t>
  </si>
  <si>
    <t xml:space="preserve">How does international law limit national sovereignty?</t>
  </si>
  <si>
    <t xml:space="preserve">CA009;CE003</t>
  </si>
  <si>
    <t xml:space="preserve">CA009;CE003;BD003;CA010;SE012;CB007</t>
  </si>
  <si>
    <t xml:space="preserve">International law does not so much *limit* sovereignty as it *defines* the framework within which sovereignty operates. Under the UN Charter, every member state — including the Philippines — is obligated to settle disputes by peaceful means: negotiation, mediation, arbitration, judicial settlement, …</t>
  </si>
  <si>
    <t xml:space="preserve">E28</t>
  </si>
  <si>
    <t xml:space="preserve">What did the Court decide in Roe v. Wade?</t>
  </si>
  <si>
    <t xml:space="preserve">CA189;CA112;CE007;CC022</t>
  </si>
  <si>
    <t xml:space="preserve">BD001;CE008;CA377;CE007;BD003;BD005;BA009</t>
  </si>
  <si>
    <t xml:space="preserve">On January 22, 1973, the US Supreme Court — voting, as I recall, in *Roe v. Wade* — recognized a woman's constitutional right to have an abortion. That was the liberal court's position for nearly half a century.
But the story did not end there. When President Trump appointed three conservative just…</t>
  </si>
  <si>
    <t xml:space="preserve">E29</t>
  </si>
  <si>
    <t xml:space="preserve">What are the implications of the Data Privacy Act (RA 10173)?</t>
  </si>
  <si>
    <t xml:space="preserve">CA034;SA049;CA242;SE012;CE102;CC069;CE004</t>
  </si>
  <si>
    <t xml:space="preserve">The Data Privacy Act of 2012 stands, in my humble opinion, as one of the most consequential pieces of legislation of our digital age. Congress enacted it "to protect the fundamental human right of privacy of communication while ensuring free flow of information to promote innovation and growth" — a …</t>
  </si>
  <si>
    <t xml:space="preserve">E30</t>
  </si>
  <si>
    <t xml:space="preserve">How should courts handle politically charged cases?</t>
  </si>
  <si>
    <t xml:space="preserve">BD001</t>
  </si>
  <si>
    <t xml:space="preserve">BD001;BA009;BD004;CA005;CA003;CA127;BD003;BD005</t>
  </si>
  <si>
    <t xml:space="preserve">The Court is, by its very nature, a passive branch. It does not reach out to grab politically charged controversies — it waits until a proper party files a petition and triggers its authority. That structural passivity is not weakness; it is discipline.
Once jurisdiction is properly invoked, howeve…</t>
  </si>
  <si>
    <t xml:space="preserve">X33</t>
  </si>
  <si>
    <t xml:space="preserve">hs</t>
  </si>
  <si>
    <t xml:space="preserve">What is the status of the death penalty in the Philippines, and what was the Echegaray case?</t>
  </si>
  <si>
    <t xml:space="preserve">BA037;CA371</t>
  </si>
  <si>
    <t xml:space="preserve">CA003;CE008;CA242;CA031;CE003;BE003;SA011;SA049</t>
  </si>
  <si>
    <t xml:space="preserve">The death penalty question is one I have addressed directly and consistently throughout my career: I opposed it as violative of both the Constitution and God's commands. I said as much even when it put me at odds with colleagues I deeply respected — including Senior Associate Justice Tony Carpio, wi…</t>
  </si>
  <si>
    <t xml:space="preserve">CJP DISSENTED in Echegaray (viewed death penalty unconstitutional/'ungodly'); abolished 2006. Must not say he voted with the majority.</t>
  </si>
  <si>
    <t xml:space="preserve">X34</t>
  </si>
  <si>
    <t xml:space="preserve">When was the South China Sea arbitral award issued?</t>
  </si>
  <si>
    <t xml:space="preserve">The arbitral award was issued on July 12, 2016 — unanimously, by the five members of the Arbitral Tribunal constituted under Annex VII of the 1982 United Nations Convention on the Law of the Sea.</t>
  </si>
  <si>
    <t xml:space="preserve">South China Sea award issued 12 July 2016.</t>
  </si>
  <si>
    <t xml:space="preserve">X37</t>
  </si>
  <si>
    <t xml:space="preserve">How do the rule of law and economic governance relate to each other?</t>
  </si>
  <si>
    <t xml:space="preserve">CA031;SB028;CD003;CB006;CB005;BE002</t>
  </si>
  <si>
    <t xml:space="preserve">The relationship is, in my humble opinion, not merely complementary — it is constitutive. Economic growth and the rule of law are intertwined and mutually inclusive: judicial credibility reinforces investor confidence, and development that neglects justice becomes brittle. That is not poetry; it is …</t>
  </si>
  <si>
    <t xml:space="preserve">X38</t>
  </si>
  <si>
    <t xml:space="preserve">Tell me about your work on both judicial reform and the prosperity doctrine.</t>
  </si>
  <si>
    <t xml:space="preserve">SB028;CA095</t>
  </si>
  <si>
    <t xml:space="preserve">SB028;SA011;CB008;CB005;SD021;CE003;SB040</t>
  </si>
  <si>
    <t xml:space="preserve">Two threads run through my life's work, and in my humble opinion, they are inseparable: reforming the judiciary so that it is worthy of public trust, and expanding our constitutional understanding of prosperity so that it stands beside liberty as an equal — not a poor second cousin.
On the judicial…</t>
  </si>
  <si>
    <t xml:space="preserve">X39</t>
  </si>
  <si>
    <t xml:space="preserve">Tell me about a memorable trip or experience from your life.</t>
  </si>
  <si>
    <t xml:space="preserve">GAP</t>
  </si>
  <si>
    <t xml:space="preserve">BC001;BC002;SC010;SB042;SB039;SB050;SE036;CC002;CC008</t>
  </si>
  <si>
    <t xml:space="preserve">One summer stands out with particular vividness. My wife Leni and I had set off for the wilderness of Alaska — two weeks carved out, as was our habit, for places off the beaten path. We had gone before to Machu Picchu, the Yellow Mountains of China, the thundering Iguassu Falls. Alaska was to be our…</t>
  </si>
  <si>
    <t xml:space="preserve">X40</t>
  </si>
  <si>
    <t xml:space="preserve">With due respect, what would you say to a young lawyer just starting out?</t>
  </si>
  <si>
    <t xml:space="preserve">CC002;SB028</t>
  </si>
  <si>
    <t xml:space="preserve">SB028;SE036;SC010;SA011;SB063;CC002</t>
  </si>
  <si>
    <t xml:space="preserve">My young compañero, let me tell you a story. Early in my career, my mentor Dr. Salonga — my guru and surrogate father — called me one morning with a bad stomach and said: "Artemio, attend the hearing tomorrow. Do not ask for postponement." I went to that sala in old CFI Pasay knowing practically not…</t>
  </si>
  <si>
    <t xml:space="preserve">AGGREGATE</t>
  </si>
  <si>
    <t xml:space="preserve">Mean faithfulness</t>
  </si>
  <si>
    <t xml:space="preserve">Hallucination rate (overall)</t>
  </si>
  <si>
    <t xml:space="preserve">Hallucination rate (high-stakes)</t>
  </si>
  <si>
    <t xml:space="preserve">Citation accuracy</t>
  </si>
  <si>
    <t xml:space="preserve">theme</t>
  </si>
  <si>
    <t xml:space="preserve">gold_grounding (reference)</t>
  </si>
  <si>
    <t xml:space="preserve">factual_accuracy_0_1 [fill]</t>
  </si>
  <si>
    <t xml:space="preserve">answer_relevancy_1_5 [fill]</t>
  </si>
  <si>
    <t xml:space="preserve">persona_similarity_0_1 [fill]</t>
  </si>
  <si>
    <t xml:space="preserve">bertscore_f1 [fill]</t>
  </si>
  <si>
    <t xml:space="preserve">A</t>
  </si>
  <si>
    <t xml:space="preserve">Written on the eve of South Korean President Lee Jae-myung's two-day Philippine state visit, the column frames the bilateral encounter as a rare opportunity to forge partnership in upholding the rule of law, constitutionalism, and AI development. Panganiban praises South Korea's democratic resilienc…</t>
  </si>
  <si>
    <t xml:space="preserve">Chapter 3 of 'With Due Respect' (Vol. 2), CJP's June 21, 2009 Inquirer column, is 'a primer on how the Court decides cases in the normal course,' prompted by the Court's unusual signed resolution throwing out the petitions against House Resolution 1109 -- special treatment, he notes, compared with t…</t>
  </si>
  <si>
    <t xml:space="preserve">Panganiban introduces the 'right to be forgotten' -- also called 'the right to have an imperfect past' -- as the doctrine, announced by the Court of Justice of the European Union in Google Spain SL v. Agencia Española de Protección de Datos (2014), that allows individuals to compel search engines li…</t>
  </si>
  <si>
    <t xml:space="preserve">Continuing from A112's account of the Warren-Court origin of judicial activism, CJ Panganiban argues that the Philippine variant rests on firmer ground than its American template. Article VIII Section 1 of the 1987 Constitution makes activism a duty, not a discretion: it commits 'the courts of justi…</t>
  </si>
  <si>
    <t xml:space="preserve">Panganiban opens with the observation that the judiciary is often likened to the Church and the military -- all three are bastions of conservatism bound by historical respect for traditions, precedents, meritocracy, and seniority. That makes the recent speech of Chief Justice Alexander G. Gesmundo '…</t>
  </si>
  <si>
    <t xml:space="preserve">Panganiban examines the Bill of Rights' due-process and search-and-seizure protections -- and how the post-1987 libertarian pendulum has swung too far. He clarifies that the Constitution prohibits not deprivation per se but deprivation 'without due process'; arrest and search warrants require judges…</t>
  </si>
  <si>
    <t xml:space="preserve">B</t>
  </si>
  <si>
    <t xml:space="preserve">Delivered July 3, 2021 as the keynote and induction address at PICPA's national conference, this speech by CJP -- who opens by humorously questioning why Dolly Miguel invited 'not a CPA, not even a commerce or business administration graduate' to be their inducting officer -- makes the case that CPA…</t>
  </si>
  <si>
    <t xml:space="preserve">Delivered April 6, 2024 as closing remarks at the FLP Professorial Chair lecture at De La Salle University BGC's Tañada-Diokno School of Law, this speech by CJP opens with two institutional corrections: first, the school name should be Diokno-Tañada (alphabetically, since both are deemed equal in ho…</t>
  </si>
  <si>
    <t xml:space="preserve">Panganiban opens the first part of his speech at the Asean Law Association's 12th general assembly opening luncheon (February 26, 2015, at Makati Shangri-La) with a famous quotation from Dr. Martin Luther King Jr.: 'If a man does not have a job or an income, he has neither life nor liberty nor the p…</t>
  </si>
  <si>
    <t xml:space="preserve">Delivered August 11, 2022 as online closing remarks at FLP's Awards Ceremony -- shifted from face-to-face at AIM to virtual format because of the Omicron surge -- this speech frames the foundation's decade-transition thesis: the first decade (2011-2021) was concentrated on LIBERTY programs (Professo…</t>
  </si>
  <si>
    <t xml:space="preserve">Panganiban reports on Justice Azcuna's lecture at the Ateneo Law School dissecting four controversial SC decisions on the economic provisions of the Constitution. First, Manila Prince Hotel vs GSIS (1997): the SC directed the award of Manila Hotel to a losing Filipino bidder who equaled a Malaysian …</t>
  </si>
  <si>
    <t xml:space="preserve">C</t>
  </si>
  <si>
    <t xml:space="preserve">Chapter 3 of 'With Due Respect' (Vol. 7), CJP's February 14, 2010 Inquirer column, is a Valentine's reflection from his address to the Second National Congress of the Clergy -- 'before 5,500 cardinals, archbishops, bishops, and priests' -- relating 'the juristic duty of dispensing justice to the pri…</t>
  </si>
  <si>
    <t xml:space="preserve">Panganiban celebrates his 10th anniversary of writing for the Inquirer (first column: February 11, 2007), recounting that he accepted Marixi Prieto's offer with hesitation for three reasons: his guru Dr. Jovito Salonga advised against it ('chief justices make history, they do not write it'), he had …</t>
  </si>
  <si>
    <t xml:space="preserve">Panganiban delivers a eulogy at the wake of Jovito R. Salonga, his guru and surrogate father. The 1956-57 school year FEU law students' strike protested the 'unjustified retirement' of their old dean -- and a 'youngish 36-year-old, bespectacled professor walked to center stage, took the microphone, …</t>
  </si>
  <si>
    <t xml:space="preserve">Delivered at a family gathering on June 5, 2024, this speech by CJP celebrates the simultaneous receipt of masteral scholarships by three grandchildren -- Andrea P. Manalac (University of Michigan MBA, following her mother Tet's footsteps), Rafa P. Yaptangco (Fordham University MBA dean's scholarshi…</t>
  </si>
  <si>
    <t xml:space="preserve">D</t>
  </si>
  <si>
    <t xml:space="preserve">Delivered July 28, 2023 at the FLP Awards Ceremony welcoming 21 new law scholars, 10 dissertation winners, and 5 ESMEL fellows, this speech by CJP opens by thanking CJ Gesmundo (keynote and Legal Scholarship Board of Judges chair), Kyle Tan (Tan Yan Kee Foundation, grandson of Dr. Lucio C. Tan), Fer…</t>
  </si>
  <si>
    <t xml:space="preserve">Panganiban announces that on August 29, 2025 at the Manila Polo Club in Makati -- with First Lady Louise Araneta-Marcos as special guest and Fernando Zobel de Ayala as guest speaker -- the Foundation for Liberty and Prosperity will award 20 law scholarships at P250,000 each (P5M, via Tan Yan Kee Fou…</t>
  </si>
  <si>
    <t xml:space="preserve">Delivered August 29, 2025 at Manila Polo Club as closing remarks of the annual FLP Awards Ceremony, this speech opens with extended, witty acknowledgments of the head-table guests led by Special Guest First Lady Louise Araneta-Marcos (whose birthday on August 21 was celebrated by the audience and wh…</t>
  </si>
  <si>
    <t xml:space="preserve">Panganiban introduces the unique character of the Foundation for Liberty and Prosperity (FLP) law scholarships -- fully funded by the Tan Yan Kee Foundation at P200,000 per scholar per year (tuition, books, monthly stipends) -- which are granted on pure merit rather than financial need, with paucity…</t>
  </si>
  <si>
    <t xml:space="preserve">Panganiban prefaces today's FLP awards ceremony with a portrait of First Lady Louise Araneta-Marcos -- whose competence as practicing lawyer and law professor he had heard of before her husband's presidency, and whom he met formally on June 28, 2023 (Sistine Chapel reproductions exhibit) and Aug 22,…</t>
  </si>
  <si>
    <t xml:space="preserve">Delivered at the first-night wake of Dr. George S.K. Ty on November 24, 2018 -- the night after his death -- this eulogy by CJP was prepared under extraordinary circumstances: Nick Torres called CJP while he was seated beside President Duterte at the San Beda function; CJP texted Cardinal Tagle (in …</t>
  </si>
  <si>
    <t xml:space="preserve">E</t>
  </si>
  <si>
    <t xml:space="preserve">Panganiban summarizes the July 12, 2016 UNCLOS Annex VII arbitral award in three parts. First, the tribunal rejected China's 'nine-dash line' and its claim of 'indisputable sovereignty' over almost the entire SCS, leaving the sea open to freedom of navigation. Second, it upheld PH maritime entitleme…</t>
  </si>
  <si>
    <t xml:space="preserve">Panganiban cuts through the public noise on the indictment, arrest, chartered-jet airlift, and Netherlands detention of former President Rodrigo R. Duterte -- comments 'essayed, broadcasted, debated, and gossiped ad nauseam' -- to identify what he believes is the pivotal legal issue: the jurisdictio…</t>
  </si>
  <si>
    <t xml:space="preserve">Panganiban asks how the Philippines should enforce the July 12, 2016 Arbitral Award against China's intractable claim of ownership and sovereignty over almost the entire South China Sea including the Philippine exclusive economic zone. His foundational answer is to stick to the rule of law -- drawin…</t>
  </si>
  <si>
    <t xml:space="preserve">Writing as a jurist with a personal encounter with Al Gore, Panganiban surveys five landmark SCOTUS decisions to argue that two centuries of American libertarian struggle -- from the nadir of Dred Scott (1857), which denied Black slaves citizenship and was later overturned by the 13th and 14th Amend…</t>
  </si>
  <si>
    <t xml:space="preserve">X</t>
  </si>
  <si>
    <t xml:space="preserve">Chapter 14 of 'A Centenary of Justice' surveys the death-penalty jurisprudence of CJP's sixth year (October 2000-October 2001), its title 'More of the Same' signaling both doctrinal continuity and the persistence of his opposition (developed in 'Battles in the Supreme Court,' 'Leadership by Example'…</t>
  </si>
  <si>
    <t xml:space="preserve">Factual accuracy</t>
  </si>
  <si>
    <t xml:space="preserve">Answer relevancy (/5)</t>
  </si>
  <si>
    <t xml:space="preserve">Persona similarity</t>
  </si>
  <si>
    <t xml:space="preserve">BERTScore-F1</t>
  </si>
  <si>
    <t xml:space="preserve">Retrieval — COMPUTED (FINAL gold: any in-scope primary source; within the 40)</t>
  </si>
  <si>
    <t xml:space="preserve">first_hit_rank</t>
  </si>
  <si>
    <t xml:space="preserve">hit@1</t>
  </si>
  <si>
    <t xml:space="preserve">hit@3</t>
  </si>
  <si>
    <t xml:space="preserve">hit@5</t>
  </si>
  <si>
    <t xml:space="preserve">reciprocal_rank</t>
  </si>
  <si>
    <t xml:space="preserve">ndcg@10</t>
  </si>
  <si>
    <t xml:space="preserve">1</t>
  </si>
  <si>
    <t xml:space="preserve">1.0</t>
  </si>
  <si>
    <t xml:space="preserve">BD002;BD001</t>
  </si>
  <si>
    <t xml:space="preserve">2</t>
  </si>
  <si>
    <t xml:space="preserve">0</t>
  </si>
  <si>
    <t xml:space="preserve">0.5</t>
  </si>
  <si>
    <t xml:space="preserve">0.631</t>
  </si>
  <si>
    <t xml:space="preserve">CA085;CA111;CA112</t>
  </si>
  <si>
    <t xml:space="preserve">MISS</t>
  </si>
  <si>
    <t xml:space="preserve">CA127;CA095</t>
  </si>
  <si>
    <t xml:space="preserve">CA004;CA005;CA330</t>
  </si>
  <si>
    <t xml:space="preserve">SB040;SB028</t>
  </si>
  <si>
    <t xml:space="preserve">SB028;SA011</t>
  </si>
  <si>
    <t xml:space="preserve">CB007;CB005;CB006</t>
  </si>
  <si>
    <t xml:space="preserve">CB008;SB028</t>
  </si>
  <si>
    <t xml:space="preserve">CC002;BC001;SA011</t>
  </si>
  <si>
    <t xml:space="preserve">CC008;SC010</t>
  </si>
  <si>
    <t xml:space="preserve">CD001;CD005;CD003</t>
  </si>
  <si>
    <t xml:space="preserve">CA031;CB003;CD003</t>
  </si>
  <si>
    <t xml:space="preserve">SD016;SB050;SD035</t>
  </si>
  <si>
    <t xml:space="preserve">CA009;CA010</t>
  </si>
  <si>
    <t xml:space="preserve">CC022;CE007;CA112;CA189</t>
  </si>
  <si>
    <t xml:space="preserve">4</t>
  </si>
  <si>
    <t xml:space="preserve">0.25</t>
  </si>
  <si>
    <t xml:space="preserve">0.431</t>
  </si>
  <si>
    <t xml:space="preserve">3</t>
  </si>
  <si>
    <t xml:space="preserve">0.333</t>
  </si>
  <si>
    <t xml:space="preserve">MEANS</t>
  </si>
  <si>
    <t xml:space="preserve">Genuine misses (no in-scope primary retrieved): A4, B9, X33</t>
  </si>
  <si>
    <t xml:space="preserve">Out-of-scope graceful decline: 2/2   |   Excluded from retrieval: META (X31,X32), OOS (X35,X36), GAP (X39)</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</si>
</sst>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595959"/>
      <name val="Arial"/>
      <family val="0"/>
      <charset val="1"/>
    </font>
    <font>
      <sz val="9"/>
      <color rgb="FF000000"/>
      <name val="Arial"/>
      <family val="0"/>
      <charset val="1"/>
    </font>
    <font>
      <sz val="10"/>
      <color rgb="FF000000"/>
      <name val="Arial"/>
      <family val="0"/>
      <charset val="1"/>
    </font>
    <font>
      <sz val="10"/>
      <color rgb="FFC00000"/>
      <name val="Arial"/>
      <family val="0"/>
      <charset val="1"/>
    </font>
    <font>
      <b val="true"/>
      <sz val="10"/>
      <color rgb="FFFFFFFF"/>
      <name val="Arial"/>
      <family val="0"/>
      <charset val="1"/>
    </font>
    <font>
      <b val="true"/>
      <sz val="9"/>
      <name val="Arial"/>
      <family val="0"/>
      <charset val="1"/>
    </font>
    <font>
      <sz val="9"/>
      <name val="Arial"/>
      <family val="0"/>
      <charset val="1"/>
    </font>
    <font>
      <b val="true"/>
      <sz val="12"/>
      <color rgb="FF1F3864"/>
      <name val="Arial"/>
      <family val="0"/>
      <charset val="1"/>
    </font>
    <font>
      <b val="true"/>
      <sz val="10"/>
      <color rgb="FF9C0006"/>
      <name val="Arial"/>
      <family val="0"/>
      <charset val="1"/>
    </font>
    <font>
      <i val="true"/>
      <sz val="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6D5"/>
        <bgColor rgb="FFFFFFFF"/>
      </patternFill>
    </fill>
    <fill>
      <patternFill patternType="solid">
        <fgColor rgb="FFFFD5D5"/>
        <bgColor rgb="FFFFC7CE"/>
      </patternFill>
    </fill>
    <fill>
      <patternFill patternType="solid">
        <fgColor rgb="FFFFC7CE"/>
        <bgColor rgb="FFFFD5D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2"/>
        <color rgb="FF000000"/>
        <sz val="11"/>
      </font>
      <alignment horizontal="general" vertical="bottom" textRotation="0" wrapText="false" indent="0" shrinkToFit="false"/>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6D5"/>
      <rgbColor rgb="FFCCFFFF"/>
      <rgbColor rgb="FF660066"/>
      <rgbColor rgb="FFFF8080"/>
      <rgbColor rgb="FF0066CC"/>
      <rgbColor rgb="FFFFD5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4" t="s">
        <v>3</v>
      </c>
    </row>
    <row r="6" customFormat="false" ht="15" hidden="false" customHeight="false" outlineLevel="0" collapsed="false">
      <c r="A6" s="5" t="s">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34"/>
    <col collapsed="false" customWidth="true" hidden="false" outlineLevel="0" max="4" min="4" style="0" width="20"/>
    <col collapsed="false" customWidth="true" hidden="false" outlineLevel="0" max="5" min="5" style="0" width="26"/>
    <col collapsed="false" customWidth="true" hidden="false" outlineLevel="0" max="6" min="6" style="0" width="52"/>
    <col collapsed="false" customWidth="true" hidden="false" outlineLevel="0" max="9" min="7" style="0" width="11"/>
    <col collapsed="false" customWidth="true" hidden="false" outlineLevel="0" max="10" min="10" style="0" width="30"/>
  </cols>
  <sheetData>
    <row r="1" customFormat="false" ht="35.05" hidden="false" customHeight="false" outlineLevel="0" collapsed="false">
      <c r="A1" s="6" t="s">
        <v>5</v>
      </c>
      <c r="B1" s="6" t="s">
        <v>6</v>
      </c>
      <c r="C1" s="6" t="s">
        <v>7</v>
      </c>
      <c r="D1" s="6" t="s">
        <v>8</v>
      </c>
      <c r="E1" s="6" t="s">
        <v>9</v>
      </c>
      <c r="F1" s="6" t="s">
        <v>10</v>
      </c>
      <c r="G1" s="6" t="s">
        <v>11</v>
      </c>
      <c r="H1" s="6" t="s">
        <v>12</v>
      </c>
      <c r="I1" s="6" t="s">
        <v>13</v>
      </c>
      <c r="J1" s="6" t="s">
        <v>14</v>
      </c>
    </row>
    <row r="2" customFormat="false" ht="64.15" hidden="false" customHeight="false" outlineLevel="0" collapsed="false">
      <c r="A2" s="7" t="s">
        <v>15</v>
      </c>
      <c r="B2" s="8" t="s">
        <v>16</v>
      </c>
      <c r="C2" s="9" t="s">
        <v>17</v>
      </c>
      <c r="D2" s="9" t="s">
        <v>18</v>
      </c>
      <c r="E2" s="9" t="s">
        <v>19</v>
      </c>
      <c r="F2" s="9" t="s">
        <v>20</v>
      </c>
      <c r="G2" s="10"/>
      <c r="H2" s="10"/>
      <c r="I2" s="10"/>
      <c r="J2" s="9"/>
    </row>
    <row r="3" customFormat="false" ht="53.7" hidden="false" customHeight="false" outlineLevel="0" collapsed="false">
      <c r="A3" s="7" t="s">
        <v>21</v>
      </c>
      <c r="B3" s="8" t="s">
        <v>16</v>
      </c>
      <c r="C3" s="9" t="s">
        <v>22</v>
      </c>
      <c r="D3" s="9" t="s">
        <v>23</v>
      </c>
      <c r="E3" s="9" t="s">
        <v>24</v>
      </c>
      <c r="F3" s="9" t="s">
        <v>25</v>
      </c>
      <c r="G3" s="10"/>
      <c r="H3" s="10"/>
      <c r="I3" s="10"/>
      <c r="J3" s="9"/>
    </row>
    <row r="4" customFormat="false" ht="53.7" hidden="false" customHeight="false" outlineLevel="0" collapsed="false">
      <c r="A4" s="7" t="s">
        <v>26</v>
      </c>
      <c r="B4" s="8" t="s">
        <v>16</v>
      </c>
      <c r="C4" s="9" t="s">
        <v>27</v>
      </c>
      <c r="D4" s="9" t="s">
        <v>28</v>
      </c>
      <c r="E4" s="9" t="s">
        <v>29</v>
      </c>
      <c r="F4" s="9" t="s">
        <v>30</v>
      </c>
      <c r="G4" s="10"/>
      <c r="H4" s="10"/>
      <c r="I4" s="10"/>
      <c r="J4" s="9"/>
    </row>
    <row r="5" customFormat="false" ht="64.15" hidden="false" customHeight="false" outlineLevel="0" collapsed="false">
      <c r="A5" s="7" t="s">
        <v>31</v>
      </c>
      <c r="B5" s="8" t="s">
        <v>16</v>
      </c>
      <c r="C5" s="9" t="s">
        <v>32</v>
      </c>
      <c r="D5" s="9" t="s">
        <v>33</v>
      </c>
      <c r="E5" s="9" t="s">
        <v>34</v>
      </c>
      <c r="F5" s="9" t="s">
        <v>35</v>
      </c>
      <c r="G5" s="10"/>
      <c r="H5" s="10"/>
      <c r="I5" s="10"/>
      <c r="J5" s="9"/>
    </row>
    <row r="6" customFormat="false" ht="64.15" hidden="false" customHeight="false" outlineLevel="0" collapsed="false">
      <c r="A6" s="7" t="s">
        <v>36</v>
      </c>
      <c r="B6" s="8" t="s">
        <v>16</v>
      </c>
      <c r="C6" s="9" t="s">
        <v>37</v>
      </c>
      <c r="D6" s="9" t="s">
        <v>38</v>
      </c>
      <c r="E6" s="9" t="s">
        <v>39</v>
      </c>
      <c r="F6" s="9" t="s">
        <v>40</v>
      </c>
      <c r="G6" s="10"/>
      <c r="H6" s="10"/>
      <c r="I6" s="10"/>
      <c r="J6" s="9"/>
    </row>
    <row r="7" customFormat="false" ht="53.7" hidden="false" customHeight="false" outlineLevel="0" collapsed="false">
      <c r="A7" s="7" t="s">
        <v>41</v>
      </c>
      <c r="B7" s="8" t="s">
        <v>16</v>
      </c>
      <c r="C7" s="9" t="s">
        <v>42</v>
      </c>
      <c r="D7" s="9" t="s">
        <v>43</v>
      </c>
      <c r="E7" s="9" t="s">
        <v>44</v>
      </c>
      <c r="F7" s="9" t="s">
        <v>45</v>
      </c>
      <c r="G7" s="10"/>
      <c r="H7" s="10"/>
      <c r="I7" s="10"/>
      <c r="J7" s="9"/>
    </row>
    <row r="8" customFormat="false" ht="53.7" hidden="false" customHeight="false" outlineLevel="0" collapsed="false">
      <c r="A8" s="7" t="s">
        <v>46</v>
      </c>
      <c r="B8" s="8" t="s">
        <v>16</v>
      </c>
      <c r="C8" s="9" t="s">
        <v>47</v>
      </c>
      <c r="D8" s="9" t="s">
        <v>48</v>
      </c>
      <c r="E8" s="9" t="s">
        <v>49</v>
      </c>
      <c r="F8" s="9" t="s">
        <v>50</v>
      </c>
      <c r="G8" s="10"/>
      <c r="H8" s="10"/>
      <c r="I8" s="10"/>
      <c r="J8" s="9"/>
    </row>
    <row r="9" customFormat="false" ht="64.15" hidden="false" customHeight="false" outlineLevel="0" collapsed="false">
      <c r="A9" s="7" t="s">
        <v>51</v>
      </c>
      <c r="B9" s="8" t="s">
        <v>16</v>
      </c>
      <c r="C9" s="9" t="s">
        <v>52</v>
      </c>
      <c r="D9" s="9" t="s">
        <v>53</v>
      </c>
      <c r="E9" s="9" t="s">
        <v>54</v>
      </c>
      <c r="F9" s="9" t="s">
        <v>55</v>
      </c>
      <c r="G9" s="10"/>
      <c r="H9" s="10"/>
      <c r="I9" s="10"/>
      <c r="J9" s="9"/>
    </row>
    <row r="10" customFormat="false" ht="53.7" hidden="false" customHeight="false" outlineLevel="0" collapsed="false">
      <c r="A10" s="7" t="s">
        <v>56</v>
      </c>
      <c r="B10" s="8" t="s">
        <v>16</v>
      </c>
      <c r="C10" s="9" t="s">
        <v>57</v>
      </c>
      <c r="D10" s="9" t="s">
        <v>58</v>
      </c>
      <c r="E10" s="9" t="s">
        <v>59</v>
      </c>
      <c r="F10" s="9" t="s">
        <v>60</v>
      </c>
      <c r="G10" s="10"/>
      <c r="H10" s="10"/>
      <c r="I10" s="10"/>
      <c r="J10" s="9"/>
    </row>
    <row r="11" customFormat="false" ht="74.6" hidden="false" customHeight="false" outlineLevel="0" collapsed="false">
      <c r="A11" s="7" t="s">
        <v>61</v>
      </c>
      <c r="B11" s="8" t="s">
        <v>16</v>
      </c>
      <c r="C11" s="9" t="s">
        <v>62</v>
      </c>
      <c r="D11" s="9" t="s">
        <v>63</v>
      </c>
      <c r="E11" s="9" t="s">
        <v>64</v>
      </c>
      <c r="F11" s="9" t="s">
        <v>65</v>
      </c>
      <c r="G11" s="10"/>
      <c r="H11" s="10"/>
      <c r="I11" s="10"/>
      <c r="J11" s="9"/>
    </row>
    <row r="12" customFormat="false" ht="64.15" hidden="false" customHeight="false" outlineLevel="0" collapsed="false">
      <c r="A12" s="7" t="s">
        <v>66</v>
      </c>
      <c r="B12" s="8" t="s">
        <v>16</v>
      </c>
      <c r="C12" s="9" t="s">
        <v>67</v>
      </c>
      <c r="D12" s="9" t="s">
        <v>68</v>
      </c>
      <c r="E12" s="9" t="s">
        <v>69</v>
      </c>
      <c r="F12" s="9" t="s">
        <v>70</v>
      </c>
      <c r="G12" s="10"/>
      <c r="H12" s="10"/>
      <c r="I12" s="10"/>
      <c r="J12" s="9"/>
    </row>
    <row r="13" customFormat="false" ht="53.7" hidden="false" customHeight="false" outlineLevel="0" collapsed="false">
      <c r="A13" s="7" t="s">
        <v>71</v>
      </c>
      <c r="B13" s="8" t="s">
        <v>16</v>
      </c>
      <c r="C13" s="9" t="s">
        <v>72</v>
      </c>
      <c r="D13" s="9" t="s">
        <v>73</v>
      </c>
      <c r="E13" s="9" t="s">
        <v>74</v>
      </c>
      <c r="F13" s="9" t="s">
        <v>75</v>
      </c>
      <c r="G13" s="10"/>
      <c r="H13" s="10"/>
      <c r="I13" s="10"/>
      <c r="J13" s="9"/>
    </row>
    <row r="14" customFormat="false" ht="74.6" hidden="false" customHeight="false" outlineLevel="0" collapsed="false">
      <c r="A14" s="7" t="s">
        <v>76</v>
      </c>
      <c r="B14" s="8" t="s">
        <v>16</v>
      </c>
      <c r="C14" s="9" t="s">
        <v>77</v>
      </c>
      <c r="D14" s="9" t="s">
        <v>78</v>
      </c>
      <c r="E14" s="9" t="s">
        <v>79</v>
      </c>
      <c r="F14" s="9" t="s">
        <v>80</v>
      </c>
      <c r="G14" s="10"/>
      <c r="H14" s="10"/>
      <c r="I14" s="10"/>
      <c r="J14" s="9"/>
    </row>
    <row r="15" customFormat="false" ht="53.7" hidden="false" customHeight="false" outlineLevel="0" collapsed="false">
      <c r="A15" s="7" t="s">
        <v>81</v>
      </c>
      <c r="B15" s="8" t="s">
        <v>16</v>
      </c>
      <c r="C15" s="9" t="s">
        <v>82</v>
      </c>
      <c r="D15" s="9" t="s">
        <v>83</v>
      </c>
      <c r="E15" s="9" t="s">
        <v>84</v>
      </c>
      <c r="F15" s="9" t="s">
        <v>85</v>
      </c>
      <c r="G15" s="10"/>
      <c r="H15" s="10"/>
      <c r="I15" s="10"/>
      <c r="J15" s="9"/>
    </row>
    <row r="16" customFormat="false" ht="74.6" hidden="false" customHeight="false" outlineLevel="0" collapsed="false">
      <c r="A16" s="7" t="s">
        <v>86</v>
      </c>
      <c r="B16" s="8" t="s">
        <v>16</v>
      </c>
      <c r="C16" s="9" t="s">
        <v>87</v>
      </c>
      <c r="D16" s="9" t="s">
        <v>78</v>
      </c>
      <c r="E16" s="9" t="s">
        <v>88</v>
      </c>
      <c r="F16" s="9" t="s">
        <v>89</v>
      </c>
      <c r="G16" s="10"/>
      <c r="H16" s="10"/>
      <c r="I16" s="10"/>
      <c r="J16" s="9"/>
    </row>
    <row r="17" customFormat="false" ht="64.15" hidden="false" customHeight="false" outlineLevel="0" collapsed="false">
      <c r="A17" s="7" t="s">
        <v>90</v>
      </c>
      <c r="B17" s="8" t="s">
        <v>16</v>
      </c>
      <c r="C17" s="9" t="s">
        <v>91</v>
      </c>
      <c r="D17" s="9" t="s">
        <v>92</v>
      </c>
      <c r="E17" s="9" t="s">
        <v>93</v>
      </c>
      <c r="F17" s="9" t="s">
        <v>94</v>
      </c>
      <c r="G17" s="10"/>
      <c r="H17" s="10"/>
      <c r="I17" s="10"/>
      <c r="J17" s="9"/>
    </row>
    <row r="18" customFormat="false" ht="53.7" hidden="false" customHeight="false" outlineLevel="0" collapsed="false">
      <c r="A18" s="7" t="s">
        <v>95</v>
      </c>
      <c r="B18" s="8" t="s">
        <v>16</v>
      </c>
      <c r="C18" s="9" t="s">
        <v>96</v>
      </c>
      <c r="D18" s="9" t="s">
        <v>97</v>
      </c>
      <c r="E18" s="9" t="s">
        <v>98</v>
      </c>
      <c r="F18" s="9" t="s">
        <v>99</v>
      </c>
      <c r="G18" s="10"/>
      <c r="H18" s="10"/>
      <c r="I18" s="10"/>
      <c r="J18" s="9"/>
    </row>
    <row r="19" customFormat="false" ht="53.7" hidden="false" customHeight="false" outlineLevel="0" collapsed="false">
      <c r="A19" s="7" t="s">
        <v>100</v>
      </c>
      <c r="B19" s="8" t="s">
        <v>16</v>
      </c>
      <c r="C19" s="9" t="s">
        <v>101</v>
      </c>
      <c r="D19" s="9" t="s">
        <v>102</v>
      </c>
      <c r="E19" s="9" t="s">
        <v>103</v>
      </c>
      <c r="F19" s="9" t="s">
        <v>104</v>
      </c>
      <c r="G19" s="10"/>
      <c r="H19" s="10"/>
      <c r="I19" s="10"/>
      <c r="J19" s="9"/>
    </row>
    <row r="20" customFormat="false" ht="53.7" hidden="false" customHeight="false" outlineLevel="0" collapsed="false">
      <c r="A20" s="7" t="s">
        <v>105</v>
      </c>
      <c r="B20" s="8" t="s">
        <v>16</v>
      </c>
      <c r="C20" s="9" t="s">
        <v>106</v>
      </c>
      <c r="D20" s="9" t="s">
        <v>107</v>
      </c>
      <c r="E20" s="9" t="s">
        <v>108</v>
      </c>
      <c r="F20" s="9" t="s">
        <v>109</v>
      </c>
      <c r="G20" s="10"/>
      <c r="H20" s="10"/>
      <c r="I20" s="10"/>
      <c r="J20" s="9"/>
    </row>
    <row r="21" customFormat="false" ht="53.7" hidden="false" customHeight="false" outlineLevel="0" collapsed="false">
      <c r="A21" s="7" t="s">
        <v>110</v>
      </c>
      <c r="B21" s="8" t="s">
        <v>16</v>
      </c>
      <c r="C21" s="9" t="s">
        <v>111</v>
      </c>
      <c r="D21" s="9" t="s">
        <v>112</v>
      </c>
      <c r="E21" s="9" t="s">
        <v>113</v>
      </c>
      <c r="F21" s="9" t="s">
        <v>114</v>
      </c>
      <c r="G21" s="10"/>
      <c r="H21" s="10"/>
      <c r="I21" s="10"/>
      <c r="J21" s="9"/>
    </row>
    <row r="22" customFormat="false" ht="64.15" hidden="false" customHeight="false" outlineLevel="0" collapsed="false">
      <c r="A22" s="7" t="s">
        <v>115</v>
      </c>
      <c r="B22" s="8" t="s">
        <v>16</v>
      </c>
      <c r="C22" s="9" t="s">
        <v>116</v>
      </c>
      <c r="D22" s="9" t="s">
        <v>117</v>
      </c>
      <c r="E22" s="9" t="s">
        <v>118</v>
      </c>
      <c r="F22" s="9" t="s">
        <v>119</v>
      </c>
      <c r="G22" s="10"/>
      <c r="H22" s="10"/>
      <c r="I22" s="10"/>
      <c r="J22" s="9"/>
    </row>
    <row r="23" customFormat="false" ht="74.6" hidden="false" customHeight="false" outlineLevel="0" collapsed="false">
      <c r="A23" s="7" t="s">
        <v>120</v>
      </c>
      <c r="B23" s="8" t="s">
        <v>16</v>
      </c>
      <c r="C23" s="9" t="s">
        <v>121</v>
      </c>
      <c r="D23" s="9" t="s">
        <v>122</v>
      </c>
      <c r="E23" s="9" t="s">
        <v>123</v>
      </c>
      <c r="F23" s="9" t="s">
        <v>124</v>
      </c>
      <c r="G23" s="10"/>
      <c r="H23" s="10"/>
      <c r="I23" s="10"/>
      <c r="J23" s="9"/>
    </row>
    <row r="24" customFormat="false" ht="53.7" hidden="false" customHeight="false" outlineLevel="0" collapsed="false">
      <c r="A24" s="7" t="s">
        <v>125</v>
      </c>
      <c r="B24" s="8" t="s">
        <v>16</v>
      </c>
      <c r="C24" s="9" t="s">
        <v>126</v>
      </c>
      <c r="D24" s="9" t="s">
        <v>127</v>
      </c>
      <c r="E24" s="9" t="s">
        <v>128</v>
      </c>
      <c r="F24" s="9" t="s">
        <v>129</v>
      </c>
      <c r="G24" s="10"/>
      <c r="H24" s="10"/>
      <c r="I24" s="10"/>
      <c r="J24" s="9"/>
    </row>
    <row r="25" customFormat="false" ht="53.7" hidden="false" customHeight="false" outlineLevel="0" collapsed="false">
      <c r="A25" s="7" t="s">
        <v>130</v>
      </c>
      <c r="B25" s="8" t="s">
        <v>16</v>
      </c>
      <c r="C25" s="9" t="s">
        <v>131</v>
      </c>
      <c r="D25" s="9" t="s">
        <v>132</v>
      </c>
      <c r="E25" s="9" t="s">
        <v>133</v>
      </c>
      <c r="F25" s="9" t="s">
        <v>134</v>
      </c>
      <c r="G25" s="10"/>
      <c r="H25" s="10"/>
      <c r="I25" s="10"/>
      <c r="J25" s="9"/>
    </row>
    <row r="26" customFormat="false" ht="53.7" hidden="false" customHeight="false" outlineLevel="0" collapsed="false">
      <c r="A26" s="7" t="s">
        <v>135</v>
      </c>
      <c r="B26" s="8" t="s">
        <v>16</v>
      </c>
      <c r="C26" s="9" t="s">
        <v>136</v>
      </c>
      <c r="D26" s="9" t="s">
        <v>137</v>
      </c>
      <c r="E26" s="9" t="s">
        <v>138</v>
      </c>
      <c r="F26" s="9" t="s">
        <v>139</v>
      </c>
      <c r="G26" s="10"/>
      <c r="H26" s="10"/>
      <c r="I26" s="10"/>
      <c r="J26" s="9"/>
    </row>
    <row r="27" customFormat="false" ht="64.15" hidden="false" customHeight="false" outlineLevel="0" collapsed="false">
      <c r="A27" s="7" t="s">
        <v>140</v>
      </c>
      <c r="B27" s="8" t="s">
        <v>16</v>
      </c>
      <c r="C27" s="9" t="s">
        <v>141</v>
      </c>
      <c r="D27" s="9" t="s">
        <v>142</v>
      </c>
      <c r="E27" s="9" t="s">
        <v>143</v>
      </c>
      <c r="F27" s="9" t="s">
        <v>144</v>
      </c>
      <c r="G27" s="10"/>
      <c r="H27" s="10"/>
      <c r="I27" s="10"/>
      <c r="J27" s="9"/>
    </row>
    <row r="28" customFormat="false" ht="53.7" hidden="false" customHeight="false" outlineLevel="0" collapsed="false">
      <c r="A28" s="7" t="s">
        <v>145</v>
      </c>
      <c r="B28" s="8" t="s">
        <v>16</v>
      </c>
      <c r="C28" s="9" t="s">
        <v>146</v>
      </c>
      <c r="D28" s="9" t="s">
        <v>147</v>
      </c>
      <c r="E28" s="9" t="s">
        <v>148</v>
      </c>
      <c r="F28" s="9" t="s">
        <v>149</v>
      </c>
      <c r="G28" s="10"/>
      <c r="H28" s="10"/>
      <c r="I28" s="10"/>
      <c r="J28" s="9"/>
    </row>
    <row r="29" customFormat="false" ht="74.6" hidden="false" customHeight="false" outlineLevel="0" collapsed="false">
      <c r="A29" s="7" t="s">
        <v>150</v>
      </c>
      <c r="B29" s="8" t="s">
        <v>16</v>
      </c>
      <c r="C29" s="9" t="s">
        <v>151</v>
      </c>
      <c r="D29" s="9" t="s">
        <v>152</v>
      </c>
      <c r="E29" s="9" t="s">
        <v>153</v>
      </c>
      <c r="F29" s="9" t="s">
        <v>154</v>
      </c>
      <c r="G29" s="10"/>
      <c r="H29" s="10"/>
      <c r="I29" s="10"/>
      <c r="J29" s="9"/>
    </row>
    <row r="30" customFormat="false" ht="53.7" hidden="false" customHeight="false" outlineLevel="0" collapsed="false">
      <c r="A30" s="7" t="s">
        <v>155</v>
      </c>
      <c r="B30" s="8" t="s">
        <v>16</v>
      </c>
      <c r="C30" s="9" t="s">
        <v>156</v>
      </c>
      <c r="D30" s="9" t="s">
        <v>28</v>
      </c>
      <c r="E30" s="9" t="s">
        <v>157</v>
      </c>
      <c r="F30" s="9" t="s">
        <v>158</v>
      </c>
      <c r="G30" s="10"/>
      <c r="H30" s="10"/>
      <c r="I30" s="10"/>
      <c r="J30" s="9"/>
    </row>
    <row r="31" customFormat="false" ht="64.15" hidden="false" customHeight="false" outlineLevel="0" collapsed="false">
      <c r="A31" s="7" t="s">
        <v>159</v>
      </c>
      <c r="B31" s="8" t="s">
        <v>16</v>
      </c>
      <c r="C31" s="9" t="s">
        <v>160</v>
      </c>
      <c r="D31" s="9" t="s">
        <v>161</v>
      </c>
      <c r="E31" s="9" t="s">
        <v>162</v>
      </c>
      <c r="F31" s="9" t="s">
        <v>163</v>
      </c>
      <c r="G31" s="10"/>
      <c r="H31" s="10"/>
      <c r="I31" s="10"/>
      <c r="J31" s="9"/>
    </row>
    <row r="32" customFormat="false" ht="53.7" hidden="false" customHeight="false" outlineLevel="0" collapsed="false">
      <c r="A32" s="7" t="s">
        <v>164</v>
      </c>
      <c r="B32" s="11" t="s">
        <v>165</v>
      </c>
      <c r="C32" s="9" t="s">
        <v>166</v>
      </c>
      <c r="D32" s="9" t="s">
        <v>167</v>
      </c>
      <c r="E32" s="9" t="s">
        <v>168</v>
      </c>
      <c r="F32" s="9" t="s">
        <v>169</v>
      </c>
      <c r="G32" s="10"/>
      <c r="H32" s="10"/>
      <c r="I32" s="10"/>
      <c r="J32" s="9" t="s">
        <v>170</v>
      </c>
    </row>
    <row r="33" customFormat="false" ht="32.8" hidden="false" customHeight="false" outlineLevel="0" collapsed="false">
      <c r="A33" s="7" t="s">
        <v>171</v>
      </c>
      <c r="B33" s="11" t="s">
        <v>165</v>
      </c>
      <c r="C33" s="9" t="s">
        <v>172</v>
      </c>
      <c r="D33" s="9" t="s">
        <v>137</v>
      </c>
      <c r="E33" s="9" t="s">
        <v>138</v>
      </c>
      <c r="F33" s="9" t="s">
        <v>173</v>
      </c>
      <c r="G33" s="10"/>
      <c r="H33" s="10"/>
      <c r="I33" s="10"/>
      <c r="J33" s="9" t="s">
        <v>174</v>
      </c>
    </row>
    <row r="34" customFormat="false" ht="53.7" hidden="false" customHeight="false" outlineLevel="0" collapsed="false">
      <c r="A34" s="7" t="s">
        <v>175</v>
      </c>
      <c r="B34" s="8" t="s">
        <v>16</v>
      </c>
      <c r="C34" s="9" t="s">
        <v>176</v>
      </c>
      <c r="D34" s="9" t="s">
        <v>18</v>
      </c>
      <c r="E34" s="9" t="s">
        <v>177</v>
      </c>
      <c r="F34" s="9" t="s">
        <v>178</v>
      </c>
      <c r="G34" s="10"/>
      <c r="H34" s="10"/>
      <c r="I34" s="10"/>
      <c r="J34" s="9"/>
    </row>
    <row r="35" customFormat="false" ht="74.6" hidden="false" customHeight="false" outlineLevel="0" collapsed="false">
      <c r="A35" s="7" t="s">
        <v>179</v>
      </c>
      <c r="B35" s="8" t="s">
        <v>16</v>
      </c>
      <c r="C35" s="9" t="s">
        <v>180</v>
      </c>
      <c r="D35" s="9" t="s">
        <v>181</v>
      </c>
      <c r="E35" s="9" t="s">
        <v>182</v>
      </c>
      <c r="F35" s="9" t="s">
        <v>183</v>
      </c>
      <c r="G35" s="10"/>
      <c r="H35" s="10"/>
      <c r="I35" s="10"/>
      <c r="J35" s="9"/>
    </row>
    <row r="36" customFormat="false" ht="53.7" hidden="false" customHeight="false" outlineLevel="0" collapsed="false">
      <c r="A36" s="7" t="s">
        <v>184</v>
      </c>
      <c r="B36" s="8" t="s">
        <v>16</v>
      </c>
      <c r="C36" s="9" t="s">
        <v>185</v>
      </c>
      <c r="D36" s="9" t="s">
        <v>186</v>
      </c>
      <c r="E36" s="9" t="s">
        <v>187</v>
      </c>
      <c r="F36" s="9" t="s">
        <v>188</v>
      </c>
      <c r="G36" s="10"/>
      <c r="H36" s="10"/>
      <c r="I36" s="10"/>
      <c r="J36" s="9"/>
    </row>
    <row r="37" customFormat="false" ht="53.7" hidden="false" customHeight="false" outlineLevel="0" collapsed="false">
      <c r="A37" s="7" t="s">
        <v>189</v>
      </c>
      <c r="B37" s="8" t="s">
        <v>16</v>
      </c>
      <c r="C37" s="9" t="s">
        <v>190</v>
      </c>
      <c r="D37" s="9" t="s">
        <v>191</v>
      </c>
      <c r="E37" s="9" t="s">
        <v>192</v>
      </c>
      <c r="F37" s="9" t="s">
        <v>193</v>
      </c>
      <c r="G37" s="10"/>
      <c r="H37" s="10"/>
      <c r="I37" s="10"/>
      <c r="J37" s="9"/>
    </row>
    <row r="39" customFormat="false" ht="15" hidden="false" customHeight="false" outlineLevel="0" collapsed="false">
      <c r="F39" s="12" t="s">
        <v>194</v>
      </c>
    </row>
    <row r="40" customFormat="false" ht="15" hidden="false" customHeight="false" outlineLevel="0" collapsed="false">
      <c r="F40" s="0" t="s">
        <v>195</v>
      </c>
      <c r="G40" s="0" t="str">
        <f aca="false">IF(COUNT(G2:G37)=0,"—",AVERAGE(G2:G37))</f>
        <v>—</v>
      </c>
    </row>
    <row r="41" customFormat="false" ht="15" hidden="false" customHeight="false" outlineLevel="0" collapsed="false">
      <c r="F41" s="0" t="s">
        <v>196</v>
      </c>
      <c r="G41" s="0" t="str">
        <f aca="false">IF(COUNT(H2:H37)=0,"—",SUM(H2:H37)/COUNT(H2:H37))</f>
        <v>—</v>
      </c>
    </row>
    <row r="42" customFormat="false" ht="15" hidden="false" customHeight="false" outlineLevel="0" collapsed="false">
      <c r="F42" s="0" t="s">
        <v>197</v>
      </c>
      <c r="G42" s="0" t="n">
        <f aca="false">IF(COUNTIF(B2:B37,"hs")=0,"—",SUMIFS(H2:H37,B2:B37,"hs")/COUNTIF(B2:B37,"hs"))</f>
        <v>0</v>
      </c>
    </row>
    <row r="43" customFormat="false" ht="15" hidden="false" customHeight="false" outlineLevel="0" collapsed="false">
      <c r="F43" s="0" t="s">
        <v>198</v>
      </c>
      <c r="G43" s="0" t="str">
        <f aca="false">IF(COUNT(I2:I37)=0,"—",AVERAGE(I2:I37))</f>
        <v>—</v>
      </c>
    </row>
  </sheetData>
  <conditionalFormatting sqref="G2:G37">
    <cfRule type="cellIs" priority="2" operator="greaterThanOrEqual" aboveAverage="0" equalAverage="0" bottom="0" percent="0" rank="0" text="" dxfId="0">
      <formula>0</formula>
    </cfRule>
  </conditionalFormatting>
  <conditionalFormatting sqref="H2:H37">
    <cfRule type="cellIs" priority="3" operator="greaterThanOrEqual" aboveAverage="0" equalAverage="0" bottom="0" percent="0" rank="0" text="" dxfId="0">
      <formula>0</formula>
    </cfRule>
  </conditionalFormatting>
  <conditionalFormatting sqref="I2:I37">
    <cfRule type="cellIs" priority="4" operator="greaterThan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34"/>
    <col collapsed="false" customWidth="true" hidden="false" outlineLevel="0" max="4" min="4" style="0" width="52"/>
    <col collapsed="false" customWidth="true" hidden="false" outlineLevel="0" max="5" min="5" style="0" width="50"/>
    <col collapsed="false" customWidth="true" hidden="false" outlineLevel="0" max="9" min="6" style="0" width="12"/>
  </cols>
  <sheetData>
    <row r="1" customFormat="false" ht="35.05" hidden="false" customHeight="false" outlineLevel="0" collapsed="false">
      <c r="A1" s="6" t="s">
        <v>5</v>
      </c>
      <c r="B1" s="6" t="s">
        <v>199</v>
      </c>
      <c r="C1" s="6" t="s">
        <v>7</v>
      </c>
      <c r="D1" s="6" t="s">
        <v>10</v>
      </c>
      <c r="E1" s="6" t="s">
        <v>200</v>
      </c>
      <c r="F1" s="6" t="s">
        <v>201</v>
      </c>
      <c r="G1" s="6" t="s">
        <v>202</v>
      </c>
      <c r="H1" s="6" t="s">
        <v>203</v>
      </c>
      <c r="I1" s="6" t="s">
        <v>204</v>
      </c>
    </row>
    <row r="2" customFormat="false" ht="64.15" hidden="false" customHeight="false" outlineLevel="0" collapsed="false">
      <c r="A2" s="7" t="s">
        <v>15</v>
      </c>
      <c r="B2" s="8" t="s">
        <v>205</v>
      </c>
      <c r="C2" s="9" t="s">
        <v>17</v>
      </c>
      <c r="D2" s="9" t="s">
        <v>20</v>
      </c>
      <c r="E2" s="9" t="s">
        <v>206</v>
      </c>
      <c r="F2" s="10"/>
      <c r="G2" s="10"/>
      <c r="H2" s="10"/>
      <c r="I2" s="10"/>
    </row>
    <row r="3" customFormat="false" ht="53.7" hidden="false" customHeight="false" outlineLevel="0" collapsed="false">
      <c r="A3" s="7" t="s">
        <v>21</v>
      </c>
      <c r="B3" s="8" t="s">
        <v>205</v>
      </c>
      <c r="C3" s="9" t="s">
        <v>22</v>
      </c>
      <c r="D3" s="9" t="s">
        <v>25</v>
      </c>
      <c r="E3" s="9" t="s">
        <v>207</v>
      </c>
      <c r="F3" s="10"/>
      <c r="G3" s="10"/>
      <c r="H3" s="10"/>
      <c r="I3" s="10"/>
    </row>
    <row r="4" customFormat="false" ht="53.7" hidden="false" customHeight="false" outlineLevel="0" collapsed="false">
      <c r="A4" s="7" t="s">
        <v>26</v>
      </c>
      <c r="B4" s="8" t="s">
        <v>205</v>
      </c>
      <c r="C4" s="9" t="s">
        <v>27</v>
      </c>
      <c r="D4" s="9" t="s">
        <v>30</v>
      </c>
      <c r="E4" s="9" t="s">
        <v>208</v>
      </c>
      <c r="F4" s="10"/>
      <c r="G4" s="10"/>
      <c r="H4" s="10"/>
      <c r="I4" s="10"/>
    </row>
    <row r="5" customFormat="false" ht="64.15" hidden="false" customHeight="false" outlineLevel="0" collapsed="false">
      <c r="A5" s="7" t="s">
        <v>31</v>
      </c>
      <c r="B5" s="8" t="s">
        <v>205</v>
      </c>
      <c r="C5" s="9" t="s">
        <v>32</v>
      </c>
      <c r="D5" s="9" t="s">
        <v>35</v>
      </c>
      <c r="E5" s="9" t="s">
        <v>209</v>
      </c>
      <c r="F5" s="10"/>
      <c r="G5" s="10"/>
      <c r="H5" s="10"/>
      <c r="I5" s="10"/>
    </row>
    <row r="6" customFormat="false" ht="64.15" hidden="false" customHeight="false" outlineLevel="0" collapsed="false">
      <c r="A6" s="7" t="s">
        <v>36</v>
      </c>
      <c r="B6" s="8" t="s">
        <v>205</v>
      </c>
      <c r="C6" s="9" t="s">
        <v>37</v>
      </c>
      <c r="D6" s="9" t="s">
        <v>40</v>
      </c>
      <c r="E6" s="9" t="s">
        <v>210</v>
      </c>
      <c r="F6" s="10"/>
      <c r="G6" s="10"/>
      <c r="H6" s="10"/>
      <c r="I6" s="10"/>
    </row>
    <row r="7" customFormat="false" ht="53.7" hidden="false" customHeight="false" outlineLevel="0" collapsed="false">
      <c r="A7" s="7" t="s">
        <v>41</v>
      </c>
      <c r="B7" s="8" t="s">
        <v>205</v>
      </c>
      <c r="C7" s="9" t="s">
        <v>42</v>
      </c>
      <c r="D7" s="9" t="s">
        <v>45</v>
      </c>
      <c r="E7" s="9" t="s">
        <v>211</v>
      </c>
      <c r="F7" s="10"/>
      <c r="G7" s="10"/>
      <c r="H7" s="10"/>
      <c r="I7" s="10"/>
    </row>
    <row r="8" customFormat="false" ht="53.7" hidden="false" customHeight="false" outlineLevel="0" collapsed="false">
      <c r="A8" s="7" t="s">
        <v>46</v>
      </c>
      <c r="B8" s="8" t="s">
        <v>212</v>
      </c>
      <c r="C8" s="9" t="s">
        <v>47</v>
      </c>
      <c r="D8" s="9" t="s">
        <v>50</v>
      </c>
      <c r="E8" s="9" t="s">
        <v>213</v>
      </c>
      <c r="F8" s="10"/>
      <c r="G8" s="10"/>
      <c r="H8" s="10"/>
      <c r="I8" s="10"/>
    </row>
    <row r="9" customFormat="false" ht="64.15" hidden="false" customHeight="false" outlineLevel="0" collapsed="false">
      <c r="A9" s="7" t="s">
        <v>51</v>
      </c>
      <c r="B9" s="8" t="s">
        <v>212</v>
      </c>
      <c r="C9" s="9" t="s">
        <v>52</v>
      </c>
      <c r="D9" s="9" t="s">
        <v>55</v>
      </c>
      <c r="E9" s="9" t="s">
        <v>214</v>
      </c>
      <c r="F9" s="10"/>
      <c r="G9" s="10"/>
      <c r="H9" s="10"/>
      <c r="I9" s="10"/>
    </row>
    <row r="10" customFormat="false" ht="53.7" hidden="false" customHeight="false" outlineLevel="0" collapsed="false">
      <c r="A10" s="7" t="s">
        <v>56</v>
      </c>
      <c r="B10" s="8" t="s">
        <v>212</v>
      </c>
      <c r="C10" s="9" t="s">
        <v>57</v>
      </c>
      <c r="D10" s="9" t="s">
        <v>60</v>
      </c>
      <c r="E10" s="9" t="s">
        <v>215</v>
      </c>
      <c r="F10" s="10"/>
      <c r="G10" s="10"/>
      <c r="H10" s="10"/>
      <c r="I10" s="10"/>
    </row>
    <row r="11" customFormat="false" ht="74.6" hidden="false" customHeight="false" outlineLevel="0" collapsed="false">
      <c r="A11" s="7" t="s">
        <v>61</v>
      </c>
      <c r="B11" s="8" t="s">
        <v>212</v>
      </c>
      <c r="C11" s="9" t="s">
        <v>62</v>
      </c>
      <c r="D11" s="9" t="s">
        <v>65</v>
      </c>
      <c r="E11" s="9" t="s">
        <v>216</v>
      </c>
      <c r="F11" s="10"/>
      <c r="G11" s="10"/>
      <c r="H11" s="10"/>
      <c r="I11" s="10"/>
    </row>
    <row r="12" customFormat="false" ht="64.15" hidden="false" customHeight="false" outlineLevel="0" collapsed="false">
      <c r="A12" s="7" t="s">
        <v>66</v>
      </c>
      <c r="B12" s="8" t="s">
        <v>212</v>
      </c>
      <c r="C12" s="9" t="s">
        <v>67</v>
      </c>
      <c r="D12" s="9" t="s">
        <v>70</v>
      </c>
      <c r="E12" s="9" t="s">
        <v>217</v>
      </c>
      <c r="F12" s="10"/>
      <c r="G12" s="10"/>
      <c r="H12" s="10"/>
      <c r="I12" s="10"/>
    </row>
    <row r="13" customFormat="false" ht="53.7" hidden="false" customHeight="false" outlineLevel="0" collapsed="false">
      <c r="A13" s="7" t="s">
        <v>71</v>
      </c>
      <c r="B13" s="8" t="s">
        <v>212</v>
      </c>
      <c r="C13" s="9" t="s">
        <v>72</v>
      </c>
      <c r="D13" s="9" t="s">
        <v>75</v>
      </c>
      <c r="E13" s="9" t="s">
        <v>213</v>
      </c>
      <c r="F13" s="10"/>
      <c r="G13" s="10"/>
      <c r="H13" s="10"/>
      <c r="I13" s="10"/>
    </row>
    <row r="14" customFormat="false" ht="74.6" hidden="false" customHeight="false" outlineLevel="0" collapsed="false">
      <c r="A14" s="7" t="s">
        <v>76</v>
      </c>
      <c r="B14" s="8" t="s">
        <v>218</v>
      </c>
      <c r="C14" s="9" t="s">
        <v>77</v>
      </c>
      <c r="D14" s="9" t="s">
        <v>80</v>
      </c>
      <c r="E14" s="9" t="s">
        <v>219</v>
      </c>
      <c r="F14" s="10"/>
      <c r="G14" s="10"/>
      <c r="H14" s="10"/>
      <c r="I14" s="10"/>
    </row>
    <row r="15" customFormat="false" ht="53.7" hidden="false" customHeight="false" outlineLevel="0" collapsed="false">
      <c r="A15" s="7" t="s">
        <v>81</v>
      </c>
      <c r="B15" s="8" t="s">
        <v>218</v>
      </c>
      <c r="C15" s="9" t="s">
        <v>82</v>
      </c>
      <c r="D15" s="9" t="s">
        <v>85</v>
      </c>
      <c r="E15" s="9" t="s">
        <v>219</v>
      </c>
      <c r="F15" s="10"/>
      <c r="G15" s="10"/>
      <c r="H15" s="10"/>
      <c r="I15" s="10"/>
    </row>
    <row r="16" customFormat="false" ht="74.6" hidden="false" customHeight="false" outlineLevel="0" collapsed="false">
      <c r="A16" s="7" t="s">
        <v>86</v>
      </c>
      <c r="B16" s="8" t="s">
        <v>218</v>
      </c>
      <c r="C16" s="9" t="s">
        <v>87</v>
      </c>
      <c r="D16" s="9" t="s">
        <v>89</v>
      </c>
      <c r="E16" s="9" t="s">
        <v>219</v>
      </c>
      <c r="F16" s="10"/>
      <c r="G16" s="10"/>
      <c r="H16" s="10"/>
      <c r="I16" s="10"/>
    </row>
    <row r="17" customFormat="false" ht="64.15" hidden="false" customHeight="false" outlineLevel="0" collapsed="false">
      <c r="A17" s="7" t="s">
        <v>90</v>
      </c>
      <c r="B17" s="8" t="s">
        <v>218</v>
      </c>
      <c r="C17" s="9" t="s">
        <v>91</v>
      </c>
      <c r="D17" s="9" t="s">
        <v>94</v>
      </c>
      <c r="E17" s="9" t="s">
        <v>220</v>
      </c>
      <c r="F17" s="10"/>
      <c r="G17" s="10"/>
      <c r="H17" s="10"/>
      <c r="I17" s="10"/>
    </row>
    <row r="18" customFormat="false" ht="53.7" hidden="false" customHeight="false" outlineLevel="0" collapsed="false">
      <c r="A18" s="7" t="s">
        <v>95</v>
      </c>
      <c r="B18" s="8" t="s">
        <v>218</v>
      </c>
      <c r="C18" s="9" t="s">
        <v>96</v>
      </c>
      <c r="D18" s="9" t="s">
        <v>99</v>
      </c>
      <c r="E18" s="9" t="s">
        <v>221</v>
      </c>
      <c r="F18" s="10"/>
      <c r="G18" s="10"/>
      <c r="H18" s="10"/>
      <c r="I18" s="10"/>
    </row>
    <row r="19" customFormat="false" ht="53.7" hidden="false" customHeight="false" outlineLevel="0" collapsed="false">
      <c r="A19" s="7" t="s">
        <v>100</v>
      </c>
      <c r="B19" s="8" t="s">
        <v>218</v>
      </c>
      <c r="C19" s="9" t="s">
        <v>101</v>
      </c>
      <c r="D19" s="9" t="s">
        <v>104</v>
      </c>
      <c r="E19" s="9" t="s">
        <v>222</v>
      </c>
      <c r="F19" s="10"/>
      <c r="G19" s="10"/>
      <c r="H19" s="10"/>
      <c r="I19" s="10"/>
    </row>
    <row r="20" customFormat="false" ht="53.7" hidden="false" customHeight="false" outlineLevel="0" collapsed="false">
      <c r="A20" s="7" t="s">
        <v>105</v>
      </c>
      <c r="B20" s="8" t="s">
        <v>223</v>
      </c>
      <c r="C20" s="9" t="s">
        <v>106</v>
      </c>
      <c r="D20" s="9" t="s">
        <v>109</v>
      </c>
      <c r="E20" s="9" t="s">
        <v>224</v>
      </c>
      <c r="F20" s="10"/>
      <c r="G20" s="10"/>
      <c r="H20" s="10"/>
      <c r="I20" s="10"/>
    </row>
    <row r="21" customFormat="false" ht="53.7" hidden="false" customHeight="false" outlineLevel="0" collapsed="false">
      <c r="A21" s="7" t="s">
        <v>110</v>
      </c>
      <c r="B21" s="8" t="s">
        <v>223</v>
      </c>
      <c r="C21" s="9" t="s">
        <v>111</v>
      </c>
      <c r="D21" s="9" t="s">
        <v>114</v>
      </c>
      <c r="E21" s="9" t="s">
        <v>225</v>
      </c>
      <c r="F21" s="10"/>
      <c r="G21" s="10"/>
      <c r="H21" s="10"/>
      <c r="I21" s="10"/>
    </row>
    <row r="22" customFormat="false" ht="64.15" hidden="false" customHeight="false" outlineLevel="0" collapsed="false">
      <c r="A22" s="7" t="s">
        <v>115</v>
      </c>
      <c r="B22" s="8" t="s">
        <v>223</v>
      </c>
      <c r="C22" s="9" t="s">
        <v>116</v>
      </c>
      <c r="D22" s="9" t="s">
        <v>119</v>
      </c>
      <c r="E22" s="9" t="s">
        <v>226</v>
      </c>
      <c r="F22" s="10"/>
      <c r="G22" s="10"/>
      <c r="H22" s="10"/>
      <c r="I22" s="10"/>
    </row>
    <row r="23" customFormat="false" ht="74.6" hidden="false" customHeight="false" outlineLevel="0" collapsed="false">
      <c r="A23" s="7" t="s">
        <v>120</v>
      </c>
      <c r="B23" s="8" t="s">
        <v>223</v>
      </c>
      <c r="C23" s="9" t="s">
        <v>121</v>
      </c>
      <c r="D23" s="9" t="s">
        <v>124</v>
      </c>
      <c r="E23" s="9" t="s">
        <v>227</v>
      </c>
      <c r="F23" s="10"/>
      <c r="G23" s="10"/>
      <c r="H23" s="10"/>
      <c r="I23" s="10"/>
    </row>
    <row r="24" customFormat="false" ht="53.7" hidden="false" customHeight="false" outlineLevel="0" collapsed="false">
      <c r="A24" s="7" t="s">
        <v>125</v>
      </c>
      <c r="B24" s="8" t="s">
        <v>223</v>
      </c>
      <c r="C24" s="9" t="s">
        <v>126</v>
      </c>
      <c r="D24" s="9" t="s">
        <v>129</v>
      </c>
      <c r="E24" s="9" t="s">
        <v>228</v>
      </c>
      <c r="F24" s="10"/>
      <c r="G24" s="10"/>
      <c r="H24" s="10"/>
      <c r="I24" s="10"/>
    </row>
    <row r="25" customFormat="false" ht="53.7" hidden="false" customHeight="false" outlineLevel="0" collapsed="false">
      <c r="A25" s="7" t="s">
        <v>130</v>
      </c>
      <c r="B25" s="8" t="s">
        <v>223</v>
      </c>
      <c r="C25" s="9" t="s">
        <v>131</v>
      </c>
      <c r="D25" s="9" t="s">
        <v>134</v>
      </c>
      <c r="E25" s="9" t="s">
        <v>229</v>
      </c>
      <c r="F25" s="10"/>
      <c r="G25" s="10"/>
      <c r="H25" s="10"/>
      <c r="I25" s="10"/>
    </row>
    <row r="26" customFormat="false" ht="53.7" hidden="false" customHeight="false" outlineLevel="0" collapsed="false">
      <c r="A26" s="7" t="s">
        <v>135</v>
      </c>
      <c r="B26" s="8" t="s">
        <v>230</v>
      </c>
      <c r="C26" s="9" t="s">
        <v>136</v>
      </c>
      <c r="D26" s="9" t="s">
        <v>139</v>
      </c>
      <c r="E26" s="9" t="s">
        <v>231</v>
      </c>
      <c r="F26" s="10"/>
      <c r="G26" s="10"/>
      <c r="H26" s="10"/>
      <c r="I26" s="10"/>
    </row>
    <row r="27" customFormat="false" ht="64.15" hidden="false" customHeight="false" outlineLevel="0" collapsed="false">
      <c r="A27" s="7" t="s">
        <v>140</v>
      </c>
      <c r="B27" s="8" t="s">
        <v>230</v>
      </c>
      <c r="C27" s="9" t="s">
        <v>141</v>
      </c>
      <c r="D27" s="9" t="s">
        <v>144</v>
      </c>
      <c r="E27" s="9" t="s">
        <v>232</v>
      </c>
      <c r="F27" s="10"/>
      <c r="G27" s="10"/>
      <c r="H27" s="10"/>
      <c r="I27" s="10"/>
    </row>
    <row r="28" customFormat="false" ht="53.7" hidden="false" customHeight="false" outlineLevel="0" collapsed="false">
      <c r="A28" s="7" t="s">
        <v>145</v>
      </c>
      <c r="B28" s="8" t="s">
        <v>230</v>
      </c>
      <c r="C28" s="9" t="s">
        <v>146</v>
      </c>
      <c r="D28" s="9" t="s">
        <v>149</v>
      </c>
      <c r="E28" s="9" t="s">
        <v>233</v>
      </c>
      <c r="F28" s="10"/>
      <c r="G28" s="10"/>
      <c r="H28" s="10"/>
      <c r="I28" s="10"/>
    </row>
    <row r="29" customFormat="false" ht="74.6" hidden="false" customHeight="false" outlineLevel="0" collapsed="false">
      <c r="A29" s="7" t="s">
        <v>150</v>
      </c>
      <c r="B29" s="8" t="s">
        <v>230</v>
      </c>
      <c r="C29" s="9" t="s">
        <v>151</v>
      </c>
      <c r="D29" s="9" t="s">
        <v>154</v>
      </c>
      <c r="E29" s="9" t="s">
        <v>234</v>
      </c>
      <c r="F29" s="10"/>
      <c r="G29" s="10"/>
      <c r="H29" s="10"/>
      <c r="I29" s="10"/>
    </row>
    <row r="30" customFormat="false" ht="53.7" hidden="false" customHeight="false" outlineLevel="0" collapsed="false">
      <c r="A30" s="7" t="s">
        <v>155</v>
      </c>
      <c r="B30" s="8" t="s">
        <v>230</v>
      </c>
      <c r="C30" s="9" t="s">
        <v>156</v>
      </c>
      <c r="D30" s="9" t="s">
        <v>158</v>
      </c>
      <c r="E30" s="9" t="s">
        <v>208</v>
      </c>
      <c r="F30" s="10"/>
      <c r="G30" s="10"/>
      <c r="H30" s="10"/>
      <c r="I30" s="10"/>
    </row>
    <row r="31" customFormat="false" ht="64.15" hidden="false" customHeight="false" outlineLevel="0" collapsed="false">
      <c r="A31" s="7" t="s">
        <v>159</v>
      </c>
      <c r="B31" s="8" t="s">
        <v>230</v>
      </c>
      <c r="C31" s="9" t="s">
        <v>160</v>
      </c>
      <c r="D31" s="9" t="s">
        <v>163</v>
      </c>
      <c r="E31" s="9" t="s">
        <v>207</v>
      </c>
      <c r="F31" s="10"/>
      <c r="G31" s="10"/>
      <c r="H31" s="10"/>
      <c r="I31" s="10"/>
    </row>
    <row r="32" customFormat="false" ht="53.7" hidden="false" customHeight="false" outlineLevel="0" collapsed="false">
      <c r="A32" s="7" t="s">
        <v>164</v>
      </c>
      <c r="B32" s="8" t="s">
        <v>235</v>
      </c>
      <c r="C32" s="9" t="s">
        <v>166</v>
      </c>
      <c r="D32" s="9" t="s">
        <v>169</v>
      </c>
      <c r="E32" s="9" t="s">
        <v>236</v>
      </c>
      <c r="F32" s="10"/>
      <c r="G32" s="10"/>
      <c r="H32" s="10"/>
      <c r="I32" s="10"/>
    </row>
    <row r="33" customFormat="false" ht="53.7" hidden="false" customHeight="false" outlineLevel="0" collapsed="false">
      <c r="A33" s="7" t="s">
        <v>171</v>
      </c>
      <c r="B33" s="8" t="s">
        <v>235</v>
      </c>
      <c r="C33" s="9" t="s">
        <v>172</v>
      </c>
      <c r="D33" s="9" t="s">
        <v>173</v>
      </c>
      <c r="E33" s="9" t="s">
        <v>231</v>
      </c>
      <c r="F33" s="10"/>
      <c r="G33" s="10"/>
      <c r="H33" s="10"/>
      <c r="I33" s="10"/>
    </row>
    <row r="34" customFormat="false" ht="53.7" hidden="false" customHeight="false" outlineLevel="0" collapsed="false">
      <c r="A34" s="7" t="s">
        <v>175</v>
      </c>
      <c r="B34" s="8" t="s">
        <v>235</v>
      </c>
      <c r="C34" s="9" t="s">
        <v>176</v>
      </c>
      <c r="D34" s="9" t="s">
        <v>178</v>
      </c>
      <c r="E34" s="9" t="s">
        <v>206</v>
      </c>
      <c r="F34" s="10"/>
      <c r="G34" s="10"/>
      <c r="H34" s="10"/>
      <c r="I34" s="10"/>
    </row>
    <row r="35" customFormat="false" ht="74.6" hidden="false" customHeight="false" outlineLevel="0" collapsed="false">
      <c r="A35" s="7" t="s">
        <v>179</v>
      </c>
      <c r="B35" s="8" t="s">
        <v>235</v>
      </c>
      <c r="C35" s="9" t="s">
        <v>180</v>
      </c>
      <c r="D35" s="9" t="s">
        <v>183</v>
      </c>
      <c r="E35" s="9" t="s">
        <v>213</v>
      </c>
      <c r="F35" s="10"/>
      <c r="G35" s="10"/>
      <c r="H35" s="10"/>
      <c r="I35" s="10"/>
    </row>
    <row r="36" customFormat="false" ht="53.7" hidden="false" customHeight="false" outlineLevel="0" collapsed="false">
      <c r="A36" s="7" t="s">
        <v>184</v>
      </c>
      <c r="B36" s="8" t="s">
        <v>235</v>
      </c>
      <c r="C36" s="9" t="s">
        <v>185</v>
      </c>
      <c r="D36" s="9" t="s">
        <v>188</v>
      </c>
      <c r="E36" s="9"/>
      <c r="F36" s="10"/>
      <c r="G36" s="10"/>
      <c r="H36" s="10"/>
      <c r="I36" s="10"/>
    </row>
    <row r="37" customFormat="false" ht="53.7" hidden="false" customHeight="false" outlineLevel="0" collapsed="false">
      <c r="A37" s="7" t="s">
        <v>189</v>
      </c>
      <c r="B37" s="8" t="s">
        <v>235</v>
      </c>
      <c r="C37" s="9" t="s">
        <v>190</v>
      </c>
      <c r="D37" s="9" t="s">
        <v>193</v>
      </c>
      <c r="E37" s="9" t="s">
        <v>221</v>
      </c>
      <c r="F37" s="10"/>
      <c r="G37" s="10"/>
      <c r="H37" s="10"/>
      <c r="I37" s="10"/>
    </row>
    <row r="39" customFormat="false" ht="15" hidden="false" customHeight="false" outlineLevel="0" collapsed="false">
      <c r="D39" s="12" t="s">
        <v>194</v>
      </c>
    </row>
    <row r="40" customFormat="false" ht="15" hidden="false" customHeight="false" outlineLevel="0" collapsed="false">
      <c r="D40" s="0" t="s">
        <v>237</v>
      </c>
      <c r="F40" s="0" t="str">
        <f aca="false">IF(COUNT(F2:F37)=0,"—",AVERAGE(F2:F37))</f>
        <v>—</v>
      </c>
    </row>
    <row r="41" customFormat="false" ht="15" hidden="false" customHeight="false" outlineLevel="0" collapsed="false">
      <c r="D41" s="0" t="s">
        <v>238</v>
      </c>
      <c r="F41" s="0" t="str">
        <f aca="false">IF(COUNT(G2:G37)=0,"—",AVERAGE(G2:G37))</f>
        <v>—</v>
      </c>
    </row>
    <row r="42" customFormat="false" ht="15" hidden="false" customHeight="false" outlineLevel="0" collapsed="false">
      <c r="D42" s="0" t="s">
        <v>239</v>
      </c>
      <c r="F42" s="0" t="str">
        <f aca="false">IF(COUNT(H2:H37)=0,"—",AVERAGE(H2:H37))</f>
        <v>—</v>
      </c>
    </row>
    <row r="43" customFormat="false" ht="15" hidden="false" customHeight="false" outlineLevel="0" collapsed="false">
      <c r="D43" s="0" t="s">
        <v>240</v>
      </c>
      <c r="F43" s="0" t="str">
        <f aca="false">IF(COUNT(I2:I37)=0,"—",AVERAGE(I2:I37))</f>
        <v>—</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8"/>
    <col collapsed="false" customWidth="true" hidden="false" outlineLevel="0" max="4" min="4" style="0" width="13"/>
    <col collapsed="false" customWidth="true" hidden="false" outlineLevel="0" max="7" min="5" style="0" width="8"/>
    <col collapsed="false" customWidth="true" hidden="false" outlineLevel="0" max="8" min="8" style="0" width="14"/>
    <col collapsed="false" customWidth="true" hidden="false" outlineLevel="0" max="9" min="9" style="0" width="10"/>
  </cols>
  <sheetData>
    <row r="1" customFormat="false" ht="15" hidden="false" customHeight="false" outlineLevel="0" collapsed="false">
      <c r="A1" s="13" t="s">
        <v>241</v>
      </c>
    </row>
    <row r="3" customFormat="false" ht="15" hidden="false" customHeight="false" outlineLevel="0" collapsed="false">
      <c r="A3" s="6" t="s">
        <v>5</v>
      </c>
      <c r="B3" s="6" t="s">
        <v>6</v>
      </c>
      <c r="C3" s="6" t="s">
        <v>8</v>
      </c>
      <c r="D3" s="6" t="s">
        <v>242</v>
      </c>
      <c r="E3" s="6" t="s">
        <v>243</v>
      </c>
      <c r="F3" s="6" t="s">
        <v>244</v>
      </c>
      <c r="G3" s="6" t="s">
        <v>245</v>
      </c>
      <c r="H3" s="6" t="s">
        <v>246</v>
      </c>
      <c r="I3" s="6" t="s">
        <v>247</v>
      </c>
    </row>
    <row r="4" customFormat="false" ht="15" hidden="false" customHeight="false" outlineLevel="0" collapsed="false">
      <c r="A4" s="14" t="s">
        <v>15</v>
      </c>
      <c r="B4" s="14" t="s">
        <v>16</v>
      </c>
      <c r="C4" s="14" t="s">
        <v>18</v>
      </c>
      <c r="D4" s="8" t="s">
        <v>248</v>
      </c>
      <c r="E4" s="8" t="s">
        <v>248</v>
      </c>
      <c r="F4" s="8" t="s">
        <v>248</v>
      </c>
      <c r="G4" s="8" t="s">
        <v>248</v>
      </c>
      <c r="H4" s="8" t="s">
        <v>249</v>
      </c>
      <c r="I4" s="8" t="s">
        <v>249</v>
      </c>
    </row>
    <row r="5" customFormat="false" ht="15" hidden="false" customHeight="false" outlineLevel="0" collapsed="false">
      <c r="A5" s="14" t="s">
        <v>21</v>
      </c>
      <c r="B5" s="14" t="s">
        <v>16</v>
      </c>
      <c r="C5" s="14" t="s">
        <v>250</v>
      </c>
      <c r="D5" s="8" t="s">
        <v>251</v>
      </c>
      <c r="E5" s="8" t="s">
        <v>252</v>
      </c>
      <c r="F5" s="8" t="s">
        <v>248</v>
      </c>
      <c r="G5" s="8" t="s">
        <v>248</v>
      </c>
      <c r="H5" s="8" t="s">
        <v>253</v>
      </c>
      <c r="I5" s="8" t="s">
        <v>254</v>
      </c>
    </row>
    <row r="6" customFormat="false" ht="15" hidden="false" customHeight="false" outlineLevel="0" collapsed="false">
      <c r="A6" s="14" t="s">
        <v>26</v>
      </c>
      <c r="B6" s="14" t="s">
        <v>16</v>
      </c>
      <c r="C6" s="14" t="s">
        <v>28</v>
      </c>
      <c r="D6" s="8" t="s">
        <v>248</v>
      </c>
      <c r="E6" s="8" t="s">
        <v>248</v>
      </c>
      <c r="F6" s="8" t="s">
        <v>248</v>
      </c>
      <c r="G6" s="8" t="s">
        <v>248</v>
      </c>
      <c r="H6" s="8" t="s">
        <v>249</v>
      </c>
      <c r="I6" s="8" t="s">
        <v>249</v>
      </c>
    </row>
    <row r="7" customFormat="false" ht="15" hidden="false" customHeight="false" outlineLevel="0" collapsed="false">
      <c r="A7" s="14" t="s">
        <v>31</v>
      </c>
      <c r="B7" s="14" t="s">
        <v>16</v>
      </c>
      <c r="C7" s="14" t="s">
        <v>255</v>
      </c>
      <c r="D7" s="15" t="s">
        <v>256</v>
      </c>
      <c r="E7" s="8" t="s">
        <v>252</v>
      </c>
      <c r="F7" s="8" t="s">
        <v>252</v>
      </c>
      <c r="G7" s="8" t="s">
        <v>252</v>
      </c>
      <c r="H7" s="8" t="s">
        <v>252</v>
      </c>
      <c r="I7" s="8" t="s">
        <v>252</v>
      </c>
    </row>
    <row r="8" customFormat="false" ht="15" hidden="false" customHeight="false" outlineLevel="0" collapsed="false">
      <c r="A8" s="14" t="s">
        <v>36</v>
      </c>
      <c r="B8" s="14" t="s">
        <v>16</v>
      </c>
      <c r="C8" s="14" t="s">
        <v>257</v>
      </c>
      <c r="D8" s="8" t="s">
        <v>248</v>
      </c>
      <c r="E8" s="8" t="s">
        <v>248</v>
      </c>
      <c r="F8" s="8" t="s">
        <v>248</v>
      </c>
      <c r="G8" s="8" t="s">
        <v>248</v>
      </c>
      <c r="H8" s="8" t="s">
        <v>249</v>
      </c>
      <c r="I8" s="8" t="s">
        <v>249</v>
      </c>
    </row>
    <row r="9" customFormat="false" ht="15" hidden="false" customHeight="false" outlineLevel="0" collapsed="false">
      <c r="A9" s="14" t="s">
        <v>41</v>
      </c>
      <c r="B9" s="14" t="s">
        <v>16</v>
      </c>
      <c r="C9" s="14" t="s">
        <v>258</v>
      </c>
      <c r="D9" s="8" t="s">
        <v>248</v>
      </c>
      <c r="E9" s="8" t="s">
        <v>248</v>
      </c>
      <c r="F9" s="8" t="s">
        <v>248</v>
      </c>
      <c r="G9" s="8" t="s">
        <v>248</v>
      </c>
      <c r="H9" s="8" t="s">
        <v>249</v>
      </c>
      <c r="I9" s="8" t="s">
        <v>249</v>
      </c>
    </row>
    <row r="10" customFormat="false" ht="15" hidden="false" customHeight="false" outlineLevel="0" collapsed="false">
      <c r="A10" s="14" t="s">
        <v>46</v>
      </c>
      <c r="B10" s="14" t="s">
        <v>16</v>
      </c>
      <c r="C10" s="14" t="s">
        <v>259</v>
      </c>
      <c r="D10" s="8" t="s">
        <v>248</v>
      </c>
      <c r="E10" s="8" t="s">
        <v>248</v>
      </c>
      <c r="F10" s="8" t="s">
        <v>248</v>
      </c>
      <c r="G10" s="8" t="s">
        <v>248</v>
      </c>
      <c r="H10" s="8" t="s">
        <v>249</v>
      </c>
      <c r="I10" s="8" t="s">
        <v>249</v>
      </c>
    </row>
    <row r="11" customFormat="false" ht="15" hidden="false" customHeight="false" outlineLevel="0" collapsed="false">
      <c r="A11" s="14" t="s">
        <v>51</v>
      </c>
      <c r="B11" s="14" t="s">
        <v>16</v>
      </c>
      <c r="C11" s="14" t="s">
        <v>260</v>
      </c>
      <c r="D11" s="8" t="s">
        <v>248</v>
      </c>
      <c r="E11" s="8" t="s">
        <v>248</v>
      </c>
      <c r="F11" s="8" t="s">
        <v>248</v>
      </c>
      <c r="G11" s="8" t="s">
        <v>248</v>
      </c>
      <c r="H11" s="8" t="s">
        <v>249</v>
      </c>
      <c r="I11" s="8" t="s">
        <v>249</v>
      </c>
    </row>
    <row r="12" customFormat="false" ht="15" hidden="false" customHeight="false" outlineLevel="0" collapsed="false">
      <c r="A12" s="14" t="s">
        <v>56</v>
      </c>
      <c r="B12" s="14" t="s">
        <v>16</v>
      </c>
      <c r="C12" s="14" t="s">
        <v>261</v>
      </c>
      <c r="D12" s="15" t="s">
        <v>256</v>
      </c>
      <c r="E12" s="8" t="s">
        <v>252</v>
      </c>
      <c r="F12" s="8" t="s">
        <v>252</v>
      </c>
      <c r="G12" s="8" t="s">
        <v>252</v>
      </c>
      <c r="H12" s="8" t="s">
        <v>252</v>
      </c>
      <c r="I12" s="8" t="s">
        <v>252</v>
      </c>
    </row>
    <row r="13" customFormat="false" ht="15" hidden="false" customHeight="false" outlineLevel="0" collapsed="false">
      <c r="A13" s="14" t="s">
        <v>61</v>
      </c>
      <c r="B13" s="14" t="s">
        <v>16</v>
      </c>
      <c r="C13" s="14" t="s">
        <v>63</v>
      </c>
      <c r="D13" s="8" t="s">
        <v>251</v>
      </c>
      <c r="E13" s="8" t="s">
        <v>252</v>
      </c>
      <c r="F13" s="8" t="s">
        <v>248</v>
      </c>
      <c r="G13" s="8" t="s">
        <v>248</v>
      </c>
      <c r="H13" s="8" t="s">
        <v>253</v>
      </c>
      <c r="I13" s="8" t="s">
        <v>254</v>
      </c>
    </row>
    <row r="14" customFormat="false" ht="15" hidden="false" customHeight="false" outlineLevel="0" collapsed="false">
      <c r="A14" s="14" t="s">
        <v>66</v>
      </c>
      <c r="B14" s="14" t="s">
        <v>16</v>
      </c>
      <c r="C14" s="14" t="s">
        <v>68</v>
      </c>
      <c r="D14" s="8" t="s">
        <v>248</v>
      </c>
      <c r="E14" s="8" t="s">
        <v>248</v>
      </c>
      <c r="F14" s="8" t="s">
        <v>248</v>
      </c>
      <c r="G14" s="8" t="s">
        <v>248</v>
      </c>
      <c r="H14" s="8" t="s">
        <v>249</v>
      </c>
      <c r="I14" s="8" t="s">
        <v>249</v>
      </c>
    </row>
    <row r="15" customFormat="false" ht="15" hidden="false" customHeight="false" outlineLevel="0" collapsed="false">
      <c r="A15" s="14" t="s">
        <v>71</v>
      </c>
      <c r="B15" s="14" t="s">
        <v>16</v>
      </c>
      <c r="C15" s="14" t="s">
        <v>262</v>
      </c>
      <c r="D15" s="8" t="s">
        <v>248</v>
      </c>
      <c r="E15" s="8" t="s">
        <v>248</v>
      </c>
      <c r="F15" s="8" t="s">
        <v>248</v>
      </c>
      <c r="G15" s="8" t="s">
        <v>248</v>
      </c>
      <c r="H15" s="8" t="s">
        <v>249</v>
      </c>
      <c r="I15" s="8" t="s">
        <v>249</v>
      </c>
    </row>
    <row r="16" customFormat="false" ht="15" hidden="false" customHeight="false" outlineLevel="0" collapsed="false">
      <c r="A16" s="14" t="s">
        <v>76</v>
      </c>
      <c r="B16" s="14" t="s">
        <v>16</v>
      </c>
      <c r="C16" s="14" t="s">
        <v>78</v>
      </c>
      <c r="D16" s="8" t="s">
        <v>248</v>
      </c>
      <c r="E16" s="8" t="s">
        <v>248</v>
      </c>
      <c r="F16" s="8" t="s">
        <v>248</v>
      </c>
      <c r="G16" s="8" t="s">
        <v>248</v>
      </c>
      <c r="H16" s="8" t="s">
        <v>249</v>
      </c>
      <c r="I16" s="8" t="s">
        <v>249</v>
      </c>
    </row>
    <row r="17" customFormat="false" ht="15" hidden="false" customHeight="false" outlineLevel="0" collapsed="false">
      <c r="A17" s="14" t="s">
        <v>81</v>
      </c>
      <c r="B17" s="14" t="s">
        <v>16</v>
      </c>
      <c r="C17" s="14" t="s">
        <v>263</v>
      </c>
      <c r="D17" s="8" t="s">
        <v>248</v>
      </c>
      <c r="E17" s="8" t="s">
        <v>248</v>
      </c>
      <c r="F17" s="8" t="s">
        <v>248</v>
      </c>
      <c r="G17" s="8" t="s">
        <v>248</v>
      </c>
      <c r="H17" s="8" t="s">
        <v>249</v>
      </c>
      <c r="I17" s="8" t="s">
        <v>249</v>
      </c>
    </row>
    <row r="18" customFormat="false" ht="15" hidden="false" customHeight="false" outlineLevel="0" collapsed="false">
      <c r="A18" s="14" t="s">
        <v>86</v>
      </c>
      <c r="B18" s="14" t="s">
        <v>16</v>
      </c>
      <c r="C18" s="14" t="s">
        <v>78</v>
      </c>
      <c r="D18" s="8" t="s">
        <v>248</v>
      </c>
      <c r="E18" s="8" t="s">
        <v>248</v>
      </c>
      <c r="F18" s="8" t="s">
        <v>248</v>
      </c>
      <c r="G18" s="8" t="s">
        <v>248</v>
      </c>
      <c r="H18" s="8" t="s">
        <v>249</v>
      </c>
      <c r="I18" s="8" t="s">
        <v>249</v>
      </c>
    </row>
    <row r="19" customFormat="false" ht="15" hidden="false" customHeight="false" outlineLevel="0" collapsed="false">
      <c r="A19" s="14" t="s">
        <v>90</v>
      </c>
      <c r="B19" s="14" t="s">
        <v>16</v>
      </c>
      <c r="C19" s="14" t="s">
        <v>92</v>
      </c>
      <c r="D19" s="8" t="s">
        <v>248</v>
      </c>
      <c r="E19" s="8" t="s">
        <v>248</v>
      </c>
      <c r="F19" s="8" t="s">
        <v>248</v>
      </c>
      <c r="G19" s="8" t="s">
        <v>248</v>
      </c>
      <c r="H19" s="8" t="s">
        <v>249</v>
      </c>
      <c r="I19" s="8" t="s">
        <v>249</v>
      </c>
    </row>
    <row r="20" customFormat="false" ht="15" hidden="false" customHeight="false" outlineLevel="0" collapsed="false">
      <c r="A20" s="14" t="s">
        <v>95</v>
      </c>
      <c r="B20" s="14" t="s">
        <v>16</v>
      </c>
      <c r="C20" s="14" t="s">
        <v>97</v>
      </c>
      <c r="D20" s="8" t="s">
        <v>251</v>
      </c>
      <c r="E20" s="8" t="s">
        <v>252</v>
      </c>
      <c r="F20" s="8" t="s">
        <v>248</v>
      </c>
      <c r="G20" s="8" t="s">
        <v>248</v>
      </c>
      <c r="H20" s="8" t="s">
        <v>253</v>
      </c>
      <c r="I20" s="8" t="s">
        <v>254</v>
      </c>
    </row>
    <row r="21" customFormat="false" ht="15" hidden="false" customHeight="false" outlineLevel="0" collapsed="false">
      <c r="A21" s="14" t="s">
        <v>100</v>
      </c>
      <c r="B21" s="14" t="s">
        <v>16</v>
      </c>
      <c r="C21" s="14" t="s">
        <v>264</v>
      </c>
      <c r="D21" s="8" t="s">
        <v>251</v>
      </c>
      <c r="E21" s="8" t="s">
        <v>252</v>
      </c>
      <c r="F21" s="8" t="s">
        <v>248</v>
      </c>
      <c r="G21" s="8" t="s">
        <v>248</v>
      </c>
      <c r="H21" s="8" t="s">
        <v>253</v>
      </c>
      <c r="I21" s="8" t="s">
        <v>254</v>
      </c>
    </row>
    <row r="22" customFormat="false" ht="15" hidden="false" customHeight="false" outlineLevel="0" collapsed="false">
      <c r="A22" s="14" t="s">
        <v>105</v>
      </c>
      <c r="B22" s="14" t="s">
        <v>16</v>
      </c>
      <c r="C22" s="14" t="s">
        <v>107</v>
      </c>
      <c r="D22" s="8" t="s">
        <v>248</v>
      </c>
      <c r="E22" s="8" t="s">
        <v>248</v>
      </c>
      <c r="F22" s="8" t="s">
        <v>248</v>
      </c>
      <c r="G22" s="8" t="s">
        <v>248</v>
      </c>
      <c r="H22" s="8" t="s">
        <v>249</v>
      </c>
      <c r="I22" s="8" t="s">
        <v>249</v>
      </c>
    </row>
    <row r="23" customFormat="false" ht="15" hidden="false" customHeight="false" outlineLevel="0" collapsed="false">
      <c r="A23" s="14" t="s">
        <v>110</v>
      </c>
      <c r="B23" s="14" t="s">
        <v>16</v>
      </c>
      <c r="C23" s="14" t="s">
        <v>265</v>
      </c>
      <c r="D23" s="8" t="s">
        <v>248</v>
      </c>
      <c r="E23" s="8" t="s">
        <v>248</v>
      </c>
      <c r="F23" s="8" t="s">
        <v>248</v>
      </c>
      <c r="G23" s="8" t="s">
        <v>248</v>
      </c>
      <c r="H23" s="8" t="s">
        <v>249</v>
      </c>
      <c r="I23" s="8" t="s">
        <v>249</v>
      </c>
    </row>
    <row r="24" customFormat="false" ht="15" hidden="false" customHeight="false" outlineLevel="0" collapsed="false">
      <c r="A24" s="14" t="s">
        <v>115</v>
      </c>
      <c r="B24" s="14" t="s">
        <v>16</v>
      </c>
      <c r="C24" s="14" t="s">
        <v>117</v>
      </c>
      <c r="D24" s="8" t="s">
        <v>248</v>
      </c>
      <c r="E24" s="8" t="s">
        <v>248</v>
      </c>
      <c r="F24" s="8" t="s">
        <v>248</v>
      </c>
      <c r="G24" s="8" t="s">
        <v>248</v>
      </c>
      <c r="H24" s="8" t="s">
        <v>249</v>
      </c>
      <c r="I24" s="8" t="s">
        <v>249</v>
      </c>
    </row>
    <row r="25" customFormat="false" ht="15" hidden="false" customHeight="false" outlineLevel="0" collapsed="false">
      <c r="A25" s="14" t="s">
        <v>120</v>
      </c>
      <c r="B25" s="14" t="s">
        <v>16</v>
      </c>
      <c r="C25" s="14" t="s">
        <v>266</v>
      </c>
      <c r="D25" s="8" t="s">
        <v>248</v>
      </c>
      <c r="E25" s="8" t="s">
        <v>248</v>
      </c>
      <c r="F25" s="8" t="s">
        <v>248</v>
      </c>
      <c r="G25" s="8" t="s">
        <v>248</v>
      </c>
      <c r="H25" s="8" t="s">
        <v>249</v>
      </c>
      <c r="I25" s="8" t="s">
        <v>249</v>
      </c>
    </row>
    <row r="26" customFormat="false" ht="15" hidden="false" customHeight="false" outlineLevel="0" collapsed="false">
      <c r="A26" s="14" t="s">
        <v>125</v>
      </c>
      <c r="B26" s="14" t="s">
        <v>16</v>
      </c>
      <c r="C26" s="14" t="s">
        <v>127</v>
      </c>
      <c r="D26" s="8" t="s">
        <v>251</v>
      </c>
      <c r="E26" s="8" t="s">
        <v>252</v>
      </c>
      <c r="F26" s="8" t="s">
        <v>248</v>
      </c>
      <c r="G26" s="8" t="s">
        <v>248</v>
      </c>
      <c r="H26" s="8" t="s">
        <v>253</v>
      </c>
      <c r="I26" s="8" t="s">
        <v>254</v>
      </c>
    </row>
    <row r="27" customFormat="false" ht="15" hidden="false" customHeight="false" outlineLevel="0" collapsed="false">
      <c r="A27" s="14" t="s">
        <v>130</v>
      </c>
      <c r="B27" s="14" t="s">
        <v>16</v>
      </c>
      <c r="C27" s="14" t="s">
        <v>267</v>
      </c>
      <c r="D27" s="8" t="s">
        <v>248</v>
      </c>
      <c r="E27" s="8" t="s">
        <v>248</v>
      </c>
      <c r="F27" s="8" t="s">
        <v>248</v>
      </c>
      <c r="G27" s="8" t="s">
        <v>248</v>
      </c>
      <c r="H27" s="8" t="s">
        <v>249</v>
      </c>
      <c r="I27" s="8" t="s">
        <v>249</v>
      </c>
    </row>
    <row r="28" customFormat="false" ht="15" hidden="false" customHeight="false" outlineLevel="0" collapsed="false">
      <c r="A28" s="14" t="s">
        <v>135</v>
      </c>
      <c r="B28" s="14" t="s">
        <v>16</v>
      </c>
      <c r="C28" s="14" t="s">
        <v>268</v>
      </c>
      <c r="D28" s="8" t="s">
        <v>248</v>
      </c>
      <c r="E28" s="8" t="s">
        <v>248</v>
      </c>
      <c r="F28" s="8" t="s">
        <v>248</v>
      </c>
      <c r="G28" s="8" t="s">
        <v>248</v>
      </c>
      <c r="H28" s="8" t="s">
        <v>249</v>
      </c>
      <c r="I28" s="8" t="s">
        <v>249</v>
      </c>
    </row>
    <row r="29" customFormat="false" ht="15" hidden="false" customHeight="false" outlineLevel="0" collapsed="false">
      <c r="A29" s="14" t="s">
        <v>140</v>
      </c>
      <c r="B29" s="14" t="s">
        <v>16</v>
      </c>
      <c r="C29" s="14" t="s">
        <v>142</v>
      </c>
      <c r="D29" s="8" t="s">
        <v>248</v>
      </c>
      <c r="E29" s="8" t="s">
        <v>248</v>
      </c>
      <c r="F29" s="8" t="s">
        <v>248</v>
      </c>
      <c r="G29" s="8" t="s">
        <v>248</v>
      </c>
      <c r="H29" s="8" t="s">
        <v>249</v>
      </c>
      <c r="I29" s="8" t="s">
        <v>249</v>
      </c>
    </row>
    <row r="30" customFormat="false" ht="15" hidden="false" customHeight="false" outlineLevel="0" collapsed="false">
      <c r="A30" s="14" t="s">
        <v>145</v>
      </c>
      <c r="B30" s="14" t="s">
        <v>16</v>
      </c>
      <c r="C30" s="14" t="s">
        <v>147</v>
      </c>
      <c r="D30" s="8" t="s">
        <v>248</v>
      </c>
      <c r="E30" s="8" t="s">
        <v>248</v>
      </c>
      <c r="F30" s="8" t="s">
        <v>248</v>
      </c>
      <c r="G30" s="8" t="s">
        <v>248</v>
      </c>
      <c r="H30" s="8" t="s">
        <v>249</v>
      </c>
      <c r="I30" s="8" t="s">
        <v>249</v>
      </c>
    </row>
    <row r="31" customFormat="false" ht="15" hidden="false" customHeight="false" outlineLevel="0" collapsed="false">
      <c r="A31" s="14" t="s">
        <v>150</v>
      </c>
      <c r="B31" s="14" t="s">
        <v>16</v>
      </c>
      <c r="C31" s="14" t="s">
        <v>269</v>
      </c>
      <c r="D31" s="8" t="s">
        <v>270</v>
      </c>
      <c r="E31" s="8" t="s">
        <v>252</v>
      </c>
      <c r="F31" s="8" t="s">
        <v>252</v>
      </c>
      <c r="G31" s="8" t="s">
        <v>248</v>
      </c>
      <c r="H31" s="8" t="s">
        <v>271</v>
      </c>
      <c r="I31" s="8" t="s">
        <v>272</v>
      </c>
    </row>
    <row r="32" customFormat="false" ht="15" hidden="false" customHeight="false" outlineLevel="0" collapsed="false">
      <c r="A32" s="14" t="s">
        <v>155</v>
      </c>
      <c r="B32" s="14" t="s">
        <v>16</v>
      </c>
      <c r="C32" s="14" t="s">
        <v>28</v>
      </c>
      <c r="D32" s="8" t="s">
        <v>273</v>
      </c>
      <c r="E32" s="8" t="s">
        <v>252</v>
      </c>
      <c r="F32" s="8" t="s">
        <v>248</v>
      </c>
      <c r="G32" s="8" t="s">
        <v>248</v>
      </c>
      <c r="H32" s="8" t="s">
        <v>274</v>
      </c>
      <c r="I32" s="8" t="s">
        <v>253</v>
      </c>
    </row>
    <row r="33" customFormat="false" ht="15" hidden="false" customHeight="false" outlineLevel="0" collapsed="false">
      <c r="A33" s="14" t="s">
        <v>159</v>
      </c>
      <c r="B33" s="14" t="s">
        <v>16</v>
      </c>
      <c r="C33" s="14" t="s">
        <v>161</v>
      </c>
      <c r="D33" s="8" t="s">
        <v>248</v>
      </c>
      <c r="E33" s="8" t="s">
        <v>248</v>
      </c>
      <c r="F33" s="8" t="s">
        <v>248</v>
      </c>
      <c r="G33" s="8" t="s">
        <v>248</v>
      </c>
      <c r="H33" s="8" t="s">
        <v>249</v>
      </c>
      <c r="I33" s="8" t="s">
        <v>249</v>
      </c>
    </row>
    <row r="34" customFormat="false" ht="15" hidden="false" customHeight="false" outlineLevel="0" collapsed="false">
      <c r="A34" s="14" t="s">
        <v>164</v>
      </c>
      <c r="B34" s="16" t="s">
        <v>165</v>
      </c>
      <c r="C34" s="14" t="s">
        <v>167</v>
      </c>
      <c r="D34" s="15" t="s">
        <v>256</v>
      </c>
      <c r="E34" s="8" t="s">
        <v>252</v>
      </c>
      <c r="F34" s="8" t="s">
        <v>252</v>
      </c>
      <c r="G34" s="8" t="s">
        <v>252</v>
      </c>
      <c r="H34" s="8" t="s">
        <v>252</v>
      </c>
      <c r="I34" s="8" t="s">
        <v>252</v>
      </c>
    </row>
    <row r="35" customFormat="false" ht="15" hidden="false" customHeight="false" outlineLevel="0" collapsed="false">
      <c r="A35" s="14" t="s">
        <v>171</v>
      </c>
      <c r="B35" s="16" t="s">
        <v>165</v>
      </c>
      <c r="C35" s="14" t="s">
        <v>268</v>
      </c>
      <c r="D35" s="8" t="s">
        <v>248</v>
      </c>
      <c r="E35" s="8" t="s">
        <v>248</v>
      </c>
      <c r="F35" s="8" t="s">
        <v>248</v>
      </c>
      <c r="G35" s="8" t="s">
        <v>248</v>
      </c>
      <c r="H35" s="8" t="s">
        <v>249</v>
      </c>
      <c r="I35" s="8" t="s">
        <v>249</v>
      </c>
    </row>
    <row r="36" customFormat="false" ht="15" hidden="false" customHeight="false" outlineLevel="0" collapsed="false">
      <c r="A36" s="14" t="s">
        <v>175</v>
      </c>
      <c r="B36" s="14" t="s">
        <v>16</v>
      </c>
      <c r="C36" s="14" t="s">
        <v>18</v>
      </c>
      <c r="D36" s="8" t="s">
        <v>248</v>
      </c>
      <c r="E36" s="8" t="s">
        <v>248</v>
      </c>
      <c r="F36" s="8" t="s">
        <v>248</v>
      </c>
      <c r="G36" s="8" t="s">
        <v>248</v>
      </c>
      <c r="H36" s="8" t="s">
        <v>249</v>
      </c>
      <c r="I36" s="8" t="s">
        <v>249</v>
      </c>
    </row>
    <row r="37" customFormat="false" ht="15" hidden="false" customHeight="false" outlineLevel="0" collapsed="false">
      <c r="A37" s="14" t="s">
        <v>179</v>
      </c>
      <c r="B37" s="14" t="s">
        <v>16</v>
      </c>
      <c r="C37" s="14" t="s">
        <v>181</v>
      </c>
      <c r="D37" s="8" t="s">
        <v>248</v>
      </c>
      <c r="E37" s="8" t="s">
        <v>248</v>
      </c>
      <c r="F37" s="8" t="s">
        <v>248</v>
      </c>
      <c r="G37" s="8" t="s">
        <v>248</v>
      </c>
      <c r="H37" s="8" t="s">
        <v>249</v>
      </c>
      <c r="I37" s="8" t="s">
        <v>249</v>
      </c>
    </row>
    <row r="38" customFormat="false" ht="15" hidden="false" customHeight="false" outlineLevel="0" collapsed="false">
      <c r="A38" s="14" t="s">
        <v>189</v>
      </c>
      <c r="B38" s="14" t="s">
        <v>16</v>
      </c>
      <c r="C38" s="14" t="s">
        <v>191</v>
      </c>
      <c r="D38" s="8" t="s">
        <v>248</v>
      </c>
      <c r="E38" s="8" t="s">
        <v>248</v>
      </c>
      <c r="F38" s="8" t="s">
        <v>248</v>
      </c>
      <c r="G38" s="8" t="s">
        <v>248</v>
      </c>
      <c r="H38" s="8" t="s">
        <v>249</v>
      </c>
      <c r="I38" s="8" t="s">
        <v>249</v>
      </c>
    </row>
    <row r="40" customFormat="false" ht="15" hidden="false" customHeight="false" outlineLevel="0" collapsed="false">
      <c r="A40" s="12" t="s">
        <v>275</v>
      </c>
      <c r="E40" s="12" t="n">
        <v>0.714</v>
      </c>
      <c r="F40" s="12" t="n">
        <v>0.886</v>
      </c>
      <c r="G40" s="12" t="n">
        <v>0.914</v>
      </c>
      <c r="H40" s="12" t="n">
        <v>0.802</v>
      </c>
      <c r="I40" s="12" t="n">
        <v>0.831</v>
      </c>
    </row>
    <row r="42" customFormat="false" ht="15" hidden="false" customHeight="false" outlineLevel="0" collapsed="false">
      <c r="A42" s="17" t="s">
        <v>276</v>
      </c>
    </row>
    <row r="43" customFormat="false" ht="15" hidden="false" customHeight="false" outlineLevel="0" collapsed="false">
      <c r="A43" s="18"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2026-07-02T09:39:09Z</dcterms:created>
  <dc:creator>openpyxl</dc:creator>
  <dc:description/>
  <dc:language>en-US</dc:language>
  <cp:lastModifiedBy/>
  <dcterms:modified xsi:type="dcterms:W3CDTF">2026-07-02T09:39:09Z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