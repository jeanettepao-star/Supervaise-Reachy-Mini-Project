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A_Latency" sheetId="2" state="visible" r:id="rId4"/>
    <sheet name="B_STT" sheetId="3" state="visible" r:id="rId5"/>
    <sheet name="C_Scope" sheetId="4" state="visible" r:id="rId6"/>
    <sheet name="D_Retrieval" sheetId="5" state="visible" r:id="rId7"/>
    <sheet name="E_Quality" sheetId="6" state="visible" r:id="rId8"/>
    <sheet name="F_Voice" sheetId="7" state="visible" r:id="rId9"/>
    <sheet name="G_Robustness" sheetId="8" state="visible" r:id="rId10"/>
    <sheet name="H_Visitor" sheetId="9" state="visible" r:id="rId11"/>
    <sheet name="Gold_Question_Set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<sst xmlns="http://schemas.openxmlformats.org/spreadsheetml/2006/main" count="468" uniqueCount="273">
  <si>
    <t xml:space="preserve">CJP Robot — Quantitative Evaluation Scorecard</t>
  </si>
  <si>
    <t xml:space="preserve">Fill the 'Result' column in each stage tab after every evaluation run. 'Pass?' compares Result to Target using the metric's direction.</t>
  </si>
  <si>
    <t xml:space="preserve">Stage tab</t>
  </si>
  <si>
    <t xml:space="preserve">Metrics</t>
  </si>
  <si>
    <t xml:space="preserve">PASS</t>
  </si>
  <si>
    <t xml:space="preserve">FAIL</t>
  </si>
  <si>
    <t xml:space="preserve">N/A</t>
  </si>
  <si>
    <t xml:space="preserve">Pending</t>
  </si>
  <si>
    <t xml:space="preserve">Pass rate*</t>
  </si>
  <si>
    <t xml:space="preserve">A. Latency &amp; Performance</t>
  </si>
  <si>
    <t xml:space="preserve">B. Speech-to-Text</t>
  </si>
  <si>
    <t xml:space="preserve">C. Scope &amp; Topic</t>
  </si>
  <si>
    <t xml:space="preserve">D. Retrieval &amp; Grounding</t>
  </si>
  <si>
    <t xml:space="preserve">E. Response Quality &amp; Persona</t>
  </si>
  <si>
    <t xml:space="preserve">F. Voice / TTS</t>
  </si>
  <si>
    <t xml:space="preserve">G. Robustness &amp; Reliability</t>
  </si>
  <si>
    <t xml:space="preserve">H. Visitor / Product</t>
  </si>
  <si>
    <t xml:space="preserve">TOTAL</t>
  </si>
  <si>
    <t xml:space="preserve">* Pass rate = PASS / (PASS+FAIL), i.e. of the metrics actually scored this run.</t>
  </si>
  <si>
    <t xml:space="preserve">N/A = not applicable to a text-only pilot (needs audio / live visitors). Pending = needs the LLM-judge pass or gold-label scope scoring.</t>
  </si>
  <si>
    <t xml:space="preserve">A.  Latency &amp; Performance</t>
  </si>
  <si>
    <t xml:space="preserve">Metric</t>
  </si>
  <si>
    <t xml:space="preserve">Definition</t>
  </si>
  <si>
    <t xml:space="preserve">Formula / how computed</t>
  </si>
  <si>
    <t xml:space="preserve">Unit</t>
  </si>
  <si>
    <t xml:space="preserve">Dir (↑/↓)</t>
  </si>
  <si>
    <t xml:space="preserve">Target</t>
  </si>
  <si>
    <t xml:space="preserve">Result</t>
  </si>
  <si>
    <t xml:space="preserve">Pass?</t>
  </si>
  <si>
    <t xml:space="preserve">Notes</t>
  </si>
  <si>
    <t xml:space="preserve">End-to-end latency (p50)</t>
  </si>
  <si>
    <t xml:space="preserve">Median time from end of speech to first audio output.</t>
  </si>
  <si>
    <t xml:space="preserve">p50 of (t_first_audio − t_speech_end)</t>
  </si>
  <si>
    <t xml:space="preserve">s</t>
  </si>
  <si>
    <t xml:space="preserve">↓</t>
  </si>
  <si>
    <t xml:space="preserve">w2.1 warmed</t>
  </si>
  <si>
    <t xml:space="preserve">End-to-end latency (p95)</t>
  </si>
  <si>
    <t xml:space="preserve">95th-percentile end-to-end latency.</t>
  </si>
  <si>
    <t xml:space="preserve">p95 of same distribution</t>
  </si>
  <si>
    <t xml:space="preserve">w2.1 warmed; composer-bound</t>
  </si>
  <si>
    <t xml:space="preserve">Time-to-first-token</t>
  </si>
  <si>
    <t xml:space="preserve">Question end → first word of the answer.</t>
  </si>
  <si>
    <t xml:space="preserve">t_first_token − t_query_end</t>
  </si>
  <si>
    <t xml:space="preserve">p95 (p50=1.72)</t>
  </si>
  <si>
    <t xml:space="preserve">STT latency</t>
  </si>
  <si>
    <t xml:space="preserve">Audio in → text out.</t>
  </si>
  <si>
    <t xml:space="preserve">t_text − t_audio_end</t>
  </si>
  <si>
    <t xml:space="preserve">N/A — text-in pilot (no audio)</t>
  </si>
  <si>
    <t xml:space="preserve">Retrieval latency</t>
  </si>
  <si>
    <t xml:space="preserve">Query → retrieved context returned.</t>
  </si>
  <si>
    <t xml:space="preserve">t_context − t_query</t>
  </si>
  <si>
    <t xml:space="preserve">ms</t>
  </si>
  <si>
    <t xml:space="preserve">p50 ms</t>
  </si>
  <si>
    <t xml:space="preserve">TTS real-time factor</t>
  </si>
  <si>
    <t xml:space="preserve">Synthesis time ÷ produced audio length.</t>
  </si>
  <si>
    <t xml:space="preserve">t_synth / audio_len</t>
  </si>
  <si>
    <t xml:space="preserve">x</t>
  </si>
  <si>
    <t xml:space="preserve">N/A — no audio output this run</t>
  </si>
  <si>
    <t xml:space="preserve">Max stable concurrency</t>
  </si>
  <si>
    <t xml:space="preserve">Simultaneous visitors before p95 latency breaches target.</t>
  </si>
  <si>
    <t xml:space="preserve">load test; find breakpoint</t>
  </si>
  <si>
    <t xml:space="preserve">users</t>
  </si>
  <si>
    <t xml:space="preserve">↑</t>
  </si>
  <si>
    <t xml:space="preserve">not load-tested in w2.1</t>
  </si>
  <si>
    <t xml:space="preserve">B.  Speech-to-Text (input)</t>
  </si>
  <si>
    <t xml:space="preserve">WER (English)</t>
  </si>
  <si>
    <t xml:space="preserve">Word Error Rate vs human gold transcript, English utterances.</t>
  </si>
  <si>
    <t xml:space="preserve">(S+D+I)/N words</t>
  </si>
  <si>
    <t xml:space="preserve">%</t>
  </si>
  <si>
    <t xml:space="preserve">WER (Taglish)</t>
  </si>
  <si>
    <t xml:space="preserve">WER on code-switched utterances (reported separately).</t>
  </si>
  <si>
    <t xml:space="preserve">CER</t>
  </si>
  <si>
    <t xml:space="preserve">Character Error Rate (robust for names).</t>
  </si>
  <si>
    <t xml:space="preserve">(S+D+I)/N chars</t>
  </si>
  <si>
    <t xml:space="preserve">Wake-word false-reject</t>
  </si>
  <si>
    <t xml:space="preserve">Missed 'CJP' activations.</t>
  </si>
  <si>
    <t xml:space="preserve">missed / total wake attempts</t>
  </si>
  <si>
    <t xml:space="preserve">Wake-word false-accept</t>
  </si>
  <si>
    <t xml:space="preserve">Spurious activations per hour of ambient audio.</t>
  </si>
  <si>
    <t xml:space="preserve">false triggers / hour</t>
  </si>
  <si>
    <t xml:space="preserve">/hr</t>
  </si>
  <si>
    <t xml:space="preserve">C.  Scope &amp; Topic Classification</t>
  </si>
  <si>
    <t xml:space="preserve">Scope F1</t>
  </si>
  <si>
    <t xml:space="preserve">In-scope vs out-of-scope detection, harmonic mean of P and R.</t>
  </si>
  <si>
    <t xml:space="preserve">2PR/(P+R)</t>
  </si>
  <si>
    <t xml:space="preserve">0-1</t>
  </si>
  <si>
    <t xml:space="preserve">scope F1 pending gold-label scoring; see eval_pack</t>
  </si>
  <si>
    <t xml:space="preserve">Scope precision</t>
  </si>
  <si>
    <t xml:space="preserve">Of items flagged in-scope, fraction truly in-scope.</t>
  </si>
  <si>
    <t xml:space="preserve">TP/(TP+FP)</t>
  </si>
  <si>
    <t xml:space="preserve">Scope recall</t>
  </si>
  <si>
    <t xml:space="preserve">Of truly in-scope items, fraction flagged in-scope.</t>
  </si>
  <si>
    <t xml:space="preserve">TP/(TP+FN)</t>
  </si>
  <si>
    <t xml:space="preserve">OOS detection AUROC</t>
  </si>
  <si>
    <t xml:space="preserve">Separability of answerable vs unanswerable by confidence.</t>
  </si>
  <si>
    <t xml:space="preserve">area under ROC</t>
  </si>
  <si>
    <t xml:space="preserve">Topic-routing macro-F1</t>
  </si>
  <si>
    <t xml:space="preserve">Correct theme (A-E) assignment, averaged over classes.</t>
  </si>
  <si>
    <t xml:space="preserve">mean per-class F1</t>
  </si>
  <si>
    <t xml:space="preserve">D.  Retrieval &amp; Grounding (RAG)</t>
  </si>
  <si>
    <t xml:space="preserve">Recall@5</t>
  </si>
  <si>
    <t xml:space="preserve">Correct source doc appears in top-5 retrieved.</t>
  </si>
  <si>
    <t xml:space="preserve">hits@5 / queries</t>
  </si>
  <si>
    <t xml:space="preserve">final gold (hit@5, accept any in-scope primary); within the 40</t>
  </si>
  <si>
    <t xml:space="preserve">Precision@5</t>
  </si>
  <si>
    <t xml:space="preserve">Fraction of top-5 that are relevant.</t>
  </si>
  <si>
    <t xml:space="preserve">rel@5 / 5</t>
  </si>
  <si>
    <t xml:space="preserve">n/a with single/primary-source gold — use hit@k</t>
  </si>
  <si>
    <t xml:space="preserve">MRR</t>
  </si>
  <si>
    <t xml:space="preserve">Mean reciprocal rank of first relevant doc.</t>
  </si>
  <si>
    <t xml:space="preserve">mean(1/rank_first_rel)</t>
  </si>
  <si>
    <t xml:space="preserve">final gold</t>
  </si>
  <si>
    <t xml:space="preserve">nDCG@10</t>
  </si>
  <si>
    <t xml:space="preserve">Rank-weighted retrieval quality.</t>
  </si>
  <si>
    <t xml:space="preserve">DCG/IDCG</t>
  </si>
  <si>
    <t xml:space="preserve">Faithfulness / groundedness</t>
  </si>
  <si>
    <t xml:space="preserve">Fraction of answer claims supported by retrieved sources.</t>
  </si>
  <si>
    <t xml:space="preserve">supported_claims / total_claims</t>
  </si>
  <si>
    <t xml:space="preserve">pending LLM-judge pass (grade.py)</t>
  </si>
  <si>
    <t xml:space="preserve">Hallucination rate (overall)</t>
  </si>
  <si>
    <t xml:space="preserve">Responses with any unsupported/contradicted claim.</t>
  </si>
  <si>
    <t xml:space="preserve">hallucinated / responses</t>
  </si>
  <si>
    <t xml:space="preserve">pending LLM-judge pass</t>
  </si>
  <si>
    <t xml:space="preserve">Hallucination rate (high-stakes)</t>
  </si>
  <si>
    <t xml:space="preserve">Same, on rulings / dates / votes / quotes.</t>
  </si>
  <si>
    <t xml:space="preserve">hallucinated_HS / HS_responses</t>
  </si>
  <si>
    <t xml:space="preserve">pending; X33/Echegaray source was NOT retrieved — high risk</t>
  </si>
  <si>
    <t xml:space="preserve">Citation accuracy</t>
  </si>
  <si>
    <t xml:space="preserve">When it attributes to a source, attribution is correct.</t>
  </si>
  <si>
    <t xml:space="preserve">correct_cites / total_cites</t>
  </si>
  <si>
    <t xml:space="preserve">E.  Response Quality &amp; Persona Fidelity</t>
  </si>
  <si>
    <t xml:space="preserve">Factual accuracy</t>
  </si>
  <si>
    <t xml:space="preserve">Human-judged correctness on the gold set.</t>
  </si>
  <si>
    <t xml:space="preserve">correct / total</t>
  </si>
  <si>
    <t xml:space="preserve">Answer relevancy</t>
  </si>
  <si>
    <t xml:space="preserve">Answer addresses the question (human 1-5 or embedding sim).</t>
  </si>
  <si>
    <t xml:space="preserve">mean rating / cosine</t>
  </si>
  <si>
    <t xml:space="preserve">Persona/style similarity</t>
  </si>
  <si>
    <t xml:space="preserve">Cosine of response style-embedding vs CJP corpus centroid.</t>
  </si>
  <si>
    <t xml:space="preserve">cos(emb_resp, emb_CJP)</t>
  </si>
  <si>
    <t xml:space="preserve">BERTScore-F1 vs reference</t>
  </si>
  <si>
    <t xml:space="preserve">Semantic overlap with reference answers written from his corpus.</t>
  </si>
  <si>
    <t xml:space="preserve">BERTScore F1</t>
  </si>
  <si>
    <t xml:space="preserve">Length adherence</t>
  </si>
  <si>
    <t xml:space="preserve">Responses within the ~120-word cap.</t>
  </si>
  <si>
    <t xml:space="preserve">within_cap / total</t>
  </si>
  <si>
    <t xml:space="preserve">Self-consistency</t>
  </si>
  <si>
    <t xml:space="preserve">Answers consistent across paraphrased re-asks.</t>
  </si>
  <si>
    <t xml:space="preserve">1 − contradiction_rate</t>
  </si>
  <si>
    <t xml:space="preserve">F.  Voice Output (TTS)</t>
  </si>
  <si>
    <t xml:space="preserve">Speaker similarity</t>
  </si>
  <si>
    <t xml:space="preserve">Cosine of speaker embeddings, synth vs real CJP voice.</t>
  </si>
  <si>
    <t xml:space="preserve">cos(spk_synth, spk_real)</t>
  </si>
  <si>
    <t xml:space="preserve">N/A — no synthesized audio this run</t>
  </si>
  <si>
    <t xml:space="preserve">MOS (naturalness)</t>
  </si>
  <si>
    <t xml:space="preserve">Mean Opinion Score from ≥5 listeners, 1-5.</t>
  </si>
  <si>
    <t xml:space="preserve">mean listener rating</t>
  </si>
  <si>
    <t xml:space="preserve">1-5</t>
  </si>
  <si>
    <t xml:space="preserve">Pronunciation error rate</t>
  </si>
  <si>
    <t xml:space="preserve">Names / Filipino terms mispronounced.</t>
  </si>
  <si>
    <t xml:space="preserve">mispronounced / total_terms</t>
  </si>
  <si>
    <t xml:space="preserve">Intelligibility (word acc.)</t>
  </si>
  <si>
    <t xml:space="preserve">Listeners transcribe synth speech correctly.</t>
  </si>
  <si>
    <t xml:space="preserve">1 − listener_WER</t>
  </si>
  <si>
    <t xml:space="preserve">G.  Robustness, Safety &amp; Reliability</t>
  </si>
  <si>
    <t xml:space="preserve">OOS graceful-decline rate</t>
  </si>
  <si>
    <t xml:space="preserve">Out-of-corpus questions correctly declined (not fabricated).</t>
  </si>
  <si>
    <t xml:space="preserve">declined / OOS_total</t>
  </si>
  <si>
    <t xml:space="preserve">2/2 probes declined (w2.1)</t>
  </si>
  <si>
    <t xml:space="preserve">Adversarial robustness</t>
  </si>
  <si>
    <t xml:space="preserve">Leading / anachronistic / jailbreak prompts handled correctly.</t>
  </si>
  <si>
    <t xml:space="preserve">handled / adversarial_total</t>
  </si>
  <si>
    <t xml:space="preserve">not tested in w2.1</t>
  </si>
  <si>
    <t xml:space="preserve">Availability / uptime</t>
  </si>
  <si>
    <t xml:space="preserve">Service reachable during operating hours.</t>
  </si>
  <si>
    <t xml:space="preserve">uptime / operating_time</t>
  </si>
  <si>
    <t xml:space="preserve">not measured (single batch run)</t>
  </si>
  <si>
    <t xml:space="preserve">Turn error rate</t>
  </si>
  <si>
    <t xml:space="preserve">Crashes, timeouts, empty responses per 100 turns.</t>
  </si>
  <si>
    <t xml:space="preserve">errors / 100 turns</t>
  </si>
  <si>
    <t xml:space="preserve">/100</t>
  </si>
  <si>
    <t xml:space="preserve">0/40 degraded (w2.1)</t>
  </si>
  <si>
    <t xml:space="preserve">H.  Visitor / Product Metrics</t>
  </si>
  <si>
    <t xml:space="preserve">Answer / task success rate</t>
  </si>
  <si>
    <t xml:space="preserve">Sessions where the visitor got a satisfactory answer.</t>
  </si>
  <si>
    <t xml:space="preserve">success / sessions</t>
  </si>
  <si>
    <t xml:space="preserve">N/A — synthetic query set, not live visitors</t>
  </si>
  <si>
    <t xml:space="preserve">Containment</t>
  </si>
  <si>
    <t xml:space="preserve">Handled without a human stepping in.</t>
  </si>
  <si>
    <t xml:space="preserve">contained / sessions</t>
  </si>
  <si>
    <t xml:space="preserve">Turns to resolution</t>
  </si>
  <si>
    <t xml:space="preserve">Median exchanges to a satisfactory answer.</t>
  </si>
  <si>
    <t xml:space="preserve">median(turns)</t>
  </si>
  <si>
    <t xml:space="preserve">turns</t>
  </si>
  <si>
    <t xml:space="preserve">CSAT (thumbs-up)</t>
  </si>
  <si>
    <t xml:space="preserve">Positive-feedback rate.</t>
  </si>
  <si>
    <t xml:space="preserve">thumbs_up / rated</t>
  </si>
  <si>
    <t xml:space="preserve">Starter Gold-Question Set (seed from frozen pilot subset v3)</t>
  </si>
  <si>
    <t xml:space="preserve">Write the reference answer from the cited source doc(s). Use these to score tabs C-E. OOS rows test graceful decline (tab G). Expand to 3-5 Q&amp;A per theme.</t>
  </si>
  <si>
    <t xml:space="preserve">#</t>
  </si>
  <si>
    <t xml:space="preserve">Theme</t>
  </si>
  <si>
    <t xml:space="preserve">Category</t>
  </si>
  <si>
    <t xml:space="preserve">Must-cite doc_id</t>
  </si>
  <si>
    <t xml:space="preserve">Source title</t>
  </si>
  <si>
    <t xml:space="preserve">Question</t>
  </si>
  <si>
    <t xml:space="preserve">Reference answer (fill in)</t>
  </si>
  <si>
    <t xml:space="preserve">Difficulty</t>
  </si>
  <si>
    <t xml:space="preserve">A</t>
  </si>
  <si>
    <t xml:space="preserve">AI-governance</t>
  </si>
  <si>
    <t xml:space="preserve">CA034</t>
  </si>
  <si>
    <t xml:space="preserve">AI in justice and governance</t>
  </si>
  <si>
    <t xml:space="preserve">How should the justice system adapt to artificial intelligence?</t>
  </si>
  <si>
    <t xml:space="preserve">Hard</t>
  </si>
  <si>
    <t xml:space="preserve">Orphan/EJK</t>
  </si>
  <si>
    <t xml:space="preserve">CA155</t>
  </si>
  <si>
    <t xml:space="preserve">Quad comm's 'telenovela' and the ICC</t>
  </si>
  <si>
    <t xml:space="preserve">What is your view on the extrajudicial killings and the ICC inquiry?</t>
  </si>
  <si>
    <t xml:space="preserve">Orphan</t>
  </si>
  <si>
    <t xml:space="preserve">CA377</t>
  </si>
  <si>
    <t xml:space="preserve">CBCP and same-sex marriage</t>
  </si>
  <si>
    <t xml:space="preserve">What is your position on same-sex marriage?</t>
  </si>
  <si>
    <t xml:space="preserve">Biographical</t>
  </si>
  <si>
    <t xml:space="preserve">CA003</t>
  </si>
  <si>
    <t xml:space="preserve">Pivotal issue in Duterte's ICC case</t>
  </si>
  <si>
    <t xml:space="preserve">What was the pivotal legal issue in the ICC case involving former President Duterte?</t>
  </si>
  <si>
    <t xml:space="preserve">Medium</t>
  </si>
  <si>
    <t xml:space="preserve">B</t>
  </si>
  <si>
    <t xml:space="preserve">CB001</t>
  </si>
  <si>
    <t xml:space="preserve">AI fortifies liberty, prosperity, rule of law</t>
  </si>
  <si>
    <t xml:space="preserve">How does AI relate to liberty and prosperity?</t>
  </si>
  <si>
    <t xml:space="preserve">Orphan/IPRA</t>
  </si>
  <si>
    <t xml:space="preserve">BB006</t>
  </si>
  <si>
    <t xml:space="preserve">Cruz v. Secretary of Environment (IPRA)</t>
  </si>
  <si>
    <t xml:space="preserve">Is the Indigenous Peoples' Rights Act social justice or reverse discrimination?</t>
  </si>
  <si>
    <t xml:space="preserve">C</t>
  </si>
  <si>
    <t xml:space="preserve">Personal</t>
  </si>
  <si>
    <t xml:space="preserve">GC001</t>
  </si>
  <si>
    <t xml:space="preserve">PROLOGUE: The Republic at Dawn</t>
  </si>
  <si>
    <t xml:space="preserve">Tell me about your early life and how you began.</t>
  </si>
  <si>
    <t xml:space="preserve">Easy</t>
  </si>
  <si>
    <t xml:space="preserve">Orphan/surrogacy</t>
  </si>
  <si>
    <t xml:space="preserve">CC069</t>
  </si>
  <si>
    <t xml:space="preserve">The delectable twins of Mar and Korina</t>
  </si>
  <si>
    <t xml:space="preserve">What are the legal questions around surrogacy?</t>
  </si>
  <si>
    <t xml:space="preserve">D</t>
  </si>
  <si>
    <t xml:space="preserve">FLP mission</t>
  </si>
  <si>
    <t xml:space="preserve">CD022</t>
  </si>
  <si>
    <t xml:space="preserve">Enforcing rights on surveillance capitalism</t>
  </si>
  <si>
    <t xml:space="preserve">What is 'surveillance capitalism' and what rights are at stake?</t>
  </si>
  <si>
    <t xml:space="preserve">Orphan/agrarian</t>
  </si>
  <si>
    <t xml:space="preserve">CE072</t>
  </si>
  <si>
    <t xml:space="preserve">Acid test of peace: socioeconomic reforms</t>
  </si>
  <si>
    <t xml:space="preserve">What role do socioeconomic and agrarian reforms play in peace?</t>
  </si>
  <si>
    <t xml:space="preserve">E</t>
  </si>
  <si>
    <t xml:space="preserve">CE011</t>
  </si>
  <si>
    <t xml:space="preserve">Robotics, for better or for worse</t>
  </si>
  <si>
    <t xml:space="preserve">What do you think about robotics and automation?</t>
  </si>
  <si>
    <t xml:space="preserve">SE013</t>
  </si>
  <si>
    <t xml:space="preserve">Three AI Takeaways</t>
  </si>
  <si>
    <t xml:space="preserve">What are your key takeaways about AI?</t>
  </si>
  <si>
    <t xml:space="preserve">High-stakes (fact)</t>
  </si>
  <si>
    <t xml:space="preserve">BA009</t>
  </si>
  <si>
    <t xml:space="preserve">Contempt and Disciplinary Actions</t>
  </si>
  <si>
    <t xml:space="preserve">Did you vote to uphold the death penalty in the Echagaray case?</t>
  </si>
  <si>
    <t xml:space="preserve">EXPECTED: he DISSENTED (per curiam), not with the majority — must be answered correctly.</t>
  </si>
  <si>
    <t xml:space="preserve">—</t>
  </si>
  <si>
    <t xml:space="preserve">Out-of-scope</t>
  </si>
  <si>
    <t xml:space="preserve">(none)</t>
  </si>
  <si>
    <t xml:space="preserve">What do you think of the 2027 Philippine elections?</t>
  </si>
  <si>
    <t xml:space="preserve">EXPECTED: graceful decline / states it is beyond his writings.</t>
  </si>
  <si>
    <t xml:space="preserve">OOS</t>
  </si>
  <si>
    <t xml:space="preserve">Can you give me legal advice on my property case?</t>
  </si>
  <si>
    <t xml:space="preserve">EXPECTED: declines to give personalised legal advice.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</si>
</sst>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0000"/>
      <name val="Arial"/>
      <family val="0"/>
      <charset val="1"/>
    </font>
    <font>
      <sz val="11"/>
      <color rgb="FF000000"/>
      <name val="Calibri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5E1F0"/>
        <bgColor rgb="FFE7E6E6"/>
      </patternFill>
    </fill>
    <fill>
      <patternFill patternType="solid">
        <fgColor rgb="FFE7E6E6"/>
        <bgColor rgb="FFD5E1F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7E6E6"/>
      <rgbColor rgb="FFCCFFFF"/>
      <rgbColor rgb="FF660066"/>
      <rgbColor rgb="FFFF8080"/>
      <rgbColor rgb="FF0066CC"/>
      <rgbColor rgb="FFD5E1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9"/>
    <col collapsed="false" customWidth="true" hidden="false" outlineLevel="0" max="5" min="3" style="1" width="7"/>
    <col collapsed="false" customWidth="true" hidden="false" outlineLevel="0" max="6" min="6" style="1" width="9"/>
    <col collapsed="false" customWidth="true" hidden="false" outlineLevel="0" max="7" min="7" style="0" width="10"/>
  </cols>
  <sheetData>
    <row r="1" customFormat="false" ht="19.5" hidden="false" customHeight="true" outlineLevel="0" collapsed="false">
      <c r="A1" s="2" t="s">
        <v>0</v>
      </c>
      <c r="B1" s="3"/>
      <c r="C1" s="3"/>
      <c r="D1" s="3"/>
      <c r="E1" s="3"/>
      <c r="F1" s="3"/>
      <c r="G1" s="4"/>
    </row>
    <row r="2" customFormat="false" ht="15" hidden="false" customHeight="true" outlineLevel="0" collapsed="false">
      <c r="A2" s="5" t="s">
        <v>1</v>
      </c>
      <c r="B2" s="3"/>
      <c r="C2" s="3"/>
      <c r="D2" s="3"/>
      <c r="E2" s="3"/>
      <c r="F2" s="3"/>
      <c r="G2" s="4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4"/>
    </row>
    <row r="4" customFormat="false" ht="15" hidden="false" customHeight="true" outlineLevel="0" collapsed="false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</row>
    <row r="5" customFormat="false" ht="15" hidden="false" customHeight="true" outlineLevel="0" collapsed="false">
      <c r="A5" s="7" t="s">
        <v>9</v>
      </c>
      <c r="B5" s="8" t="n">
        <f aca="false">COUNTA(A_Latency!A4:A10)</f>
        <v>7</v>
      </c>
      <c r="C5" s="8" t="n">
        <f aca="false">COUNTIF(A_Latency!H4:H10,"PASS")</f>
        <v>1</v>
      </c>
      <c r="D5" s="8" t="n">
        <f aca="false">COUNTIF(A_Latency!H4:H10,"FAIL")</f>
        <v>3</v>
      </c>
      <c r="E5" s="8" t="n">
        <f aca="false">COUNTIF(A_Latency!H4:H10,"N/A")</f>
        <v>3</v>
      </c>
      <c r="F5" s="9" t="n">
        <f aca="false">B5-C5-D5-E5</f>
        <v>0</v>
      </c>
      <c r="G5" s="9" t="n">
        <f aca="false">IF((C5+D5)=0,"—",C5/(C5+D5))</f>
        <v>0.25</v>
      </c>
    </row>
    <row r="6" customFormat="false" ht="15" hidden="false" customHeight="true" outlineLevel="0" collapsed="false">
      <c r="A6" s="7" t="s">
        <v>10</v>
      </c>
      <c r="B6" s="8" t="n">
        <f aca="false">COUNTA(B_STT!A4:A8)</f>
        <v>5</v>
      </c>
      <c r="C6" s="8" t="n">
        <f aca="false">COUNTIF(B_STT!H4:H8,"PASS")</f>
        <v>0</v>
      </c>
      <c r="D6" s="8" t="n">
        <f aca="false">COUNTIF(B_STT!H4:H8,"FAIL")</f>
        <v>0</v>
      </c>
      <c r="E6" s="8" t="n">
        <f aca="false">COUNTIF(B_STT!H4:H8,"N/A")</f>
        <v>5</v>
      </c>
      <c r="F6" s="9" t="n">
        <f aca="false">B6-C6-D6-E6</f>
        <v>0</v>
      </c>
      <c r="G6" s="9" t="str">
        <f aca="false">IF((C6+D6)=0,"—",C6/(C6+D6))</f>
        <v>—</v>
      </c>
    </row>
    <row r="7" customFormat="false" ht="15" hidden="false" customHeight="true" outlineLevel="0" collapsed="false">
      <c r="A7" s="7" t="s">
        <v>11</v>
      </c>
      <c r="B7" s="8" t="n">
        <f aca="false">COUNTA(C_Scope!A4:A8)</f>
        <v>5</v>
      </c>
      <c r="C7" s="8" t="n">
        <f aca="false">COUNTIF(C_Scope!H4:H8,"PASS")</f>
        <v>0</v>
      </c>
      <c r="D7" s="8" t="n">
        <f aca="false">COUNTIF(C_Scope!H4:H8,"FAIL")</f>
        <v>0</v>
      </c>
      <c r="E7" s="8" t="n">
        <f aca="false">COUNTIF(C_Scope!H4:H8,"N/A")</f>
        <v>0</v>
      </c>
      <c r="F7" s="9" t="n">
        <f aca="false">B7-C7-D7-E7</f>
        <v>5</v>
      </c>
      <c r="G7" s="9" t="str">
        <f aca="false">IF((C7+D7)=0,"—",C7/(C7+D7))</f>
        <v>—</v>
      </c>
    </row>
    <row r="8" customFormat="false" ht="15" hidden="false" customHeight="true" outlineLevel="0" collapsed="false">
      <c r="A8" s="7" t="s">
        <v>12</v>
      </c>
      <c r="B8" s="8" t="n">
        <f aca="false">COUNTA(D_Retrieval!A4:A11)</f>
        <v>8</v>
      </c>
      <c r="C8" s="8" t="n">
        <f aca="false">COUNTIF(D_Retrieval!H4:H11,"PASS")</f>
        <v>3</v>
      </c>
      <c r="D8" s="8" t="n">
        <f aca="false">COUNTIF(D_Retrieval!H4:H11,"FAIL")</f>
        <v>0</v>
      </c>
      <c r="E8" s="8" t="n">
        <f aca="false">COUNTIF(D_Retrieval!H4:H11,"N/A")</f>
        <v>1</v>
      </c>
      <c r="F8" s="9" t="n">
        <f aca="false">B8-C8-D8-E8</f>
        <v>4</v>
      </c>
      <c r="G8" s="9" t="n">
        <f aca="false">IF((C8+D8)=0,"—",C8/(C8+D8))</f>
        <v>1</v>
      </c>
    </row>
    <row r="9" customFormat="false" ht="15" hidden="false" customHeight="true" outlineLevel="0" collapsed="false">
      <c r="A9" s="7" t="s">
        <v>13</v>
      </c>
      <c r="B9" s="8" t="n">
        <f aca="false">COUNTA(E_Quality!A4:A9)</f>
        <v>6</v>
      </c>
      <c r="C9" s="8" t="n">
        <f aca="false">COUNTIF(E_Quality!H4:H9,"PASS")</f>
        <v>0</v>
      </c>
      <c r="D9" s="8" t="n">
        <f aca="false">COUNTIF(E_Quality!H4:H9,"FAIL")</f>
        <v>0</v>
      </c>
      <c r="E9" s="8" t="n">
        <f aca="false">COUNTIF(E_Quality!H4:H9,"N/A")</f>
        <v>0</v>
      </c>
      <c r="F9" s="9" t="n">
        <f aca="false">B9-C9-D9-E9</f>
        <v>6</v>
      </c>
      <c r="G9" s="9" t="str">
        <f aca="false">IF((C9+D9)=0,"—",C9/(C9+D9))</f>
        <v>—</v>
      </c>
    </row>
    <row r="10" customFormat="false" ht="15" hidden="false" customHeight="true" outlineLevel="0" collapsed="false">
      <c r="A10" s="7" t="s">
        <v>14</v>
      </c>
      <c r="B10" s="8" t="n">
        <f aca="false">COUNTA(F_Voice!A4:A7)</f>
        <v>4</v>
      </c>
      <c r="C10" s="8" t="n">
        <f aca="false">COUNTIF(F_Voice!H4:H7,"PASS")</f>
        <v>0</v>
      </c>
      <c r="D10" s="8" t="n">
        <f aca="false">COUNTIF(F_Voice!H4:H7,"FAIL")</f>
        <v>0</v>
      </c>
      <c r="E10" s="8" t="n">
        <f aca="false">COUNTIF(F_Voice!H4:H7,"N/A")</f>
        <v>4</v>
      </c>
      <c r="F10" s="9" t="n">
        <f aca="false">B10-C10-D10-E10</f>
        <v>0</v>
      </c>
      <c r="G10" s="9" t="str">
        <f aca="false">IF((C10+D10)=0,"—",C10/(C10+D10))</f>
        <v>—</v>
      </c>
    </row>
    <row r="11" customFormat="false" ht="15" hidden="false" customHeight="true" outlineLevel="0" collapsed="false">
      <c r="A11" s="7" t="s">
        <v>15</v>
      </c>
      <c r="B11" s="8" t="n">
        <f aca="false">COUNTA(G_Robustness!A4:A7)</f>
        <v>4</v>
      </c>
      <c r="C11" s="8" t="n">
        <f aca="false">COUNTIF(G_Robustness!H4:H7,"PASS")</f>
        <v>2</v>
      </c>
      <c r="D11" s="8" t="n">
        <f aca="false">COUNTIF(G_Robustness!H4:H7,"FAIL")</f>
        <v>0</v>
      </c>
      <c r="E11" s="8" t="n">
        <f aca="false">COUNTIF(G_Robustness!H4:H7,"N/A")</f>
        <v>0</v>
      </c>
      <c r="F11" s="9" t="n">
        <f aca="false">B11-C11-D11-E11</f>
        <v>2</v>
      </c>
      <c r="G11" s="9" t="n">
        <f aca="false">IF((C11+D11)=0,"—",C11/(C11+D11))</f>
        <v>1</v>
      </c>
    </row>
    <row r="12" customFormat="false" ht="15" hidden="false" customHeight="true" outlineLevel="0" collapsed="false">
      <c r="A12" s="7" t="s">
        <v>16</v>
      </c>
      <c r="B12" s="8" t="n">
        <f aca="false">COUNTA(H_Visitor!A4:A7)</f>
        <v>4</v>
      </c>
      <c r="C12" s="8" t="n">
        <f aca="false">COUNTIF(H_Visitor!H4:H7,"PASS")</f>
        <v>0</v>
      </c>
      <c r="D12" s="8" t="n">
        <f aca="false">COUNTIF(H_Visitor!H4:H7,"FAIL")</f>
        <v>0</v>
      </c>
      <c r="E12" s="8" t="n">
        <f aca="false">COUNTIF(H_Visitor!H4:H7,"N/A")</f>
        <v>4</v>
      </c>
      <c r="F12" s="9" t="n">
        <f aca="false">B12-C12-D12-E12</f>
        <v>0</v>
      </c>
      <c r="G12" s="9" t="str">
        <f aca="false">IF((C12+D12)=0,"—",C12/(C12+D12))</f>
        <v>—</v>
      </c>
    </row>
    <row r="13" customFormat="false" ht="15" hidden="false" customHeight="true" outlineLevel="0" collapsed="false">
      <c r="A13" s="10" t="s">
        <v>17</v>
      </c>
      <c r="B13" s="11" t="n">
        <f aca="false">SUM(B5:B12)</f>
        <v>43</v>
      </c>
      <c r="C13" s="11" t="n">
        <f aca="false">SUM(C5:C12)</f>
        <v>6</v>
      </c>
      <c r="D13" s="11" t="n">
        <f aca="false">SUM(D5:D12)</f>
        <v>3</v>
      </c>
      <c r="E13" s="11" t="n">
        <f aca="false">SUM(E5:E12)</f>
        <v>17</v>
      </c>
      <c r="F13" s="12" t="n">
        <f aca="false">SUM(F5:F12)</f>
        <v>17</v>
      </c>
      <c r="G13" s="12" t="n">
        <f aca="false">IF((C13+D13)=0,"—",C13/(C13+D13))</f>
        <v>0.666666666666667</v>
      </c>
    </row>
    <row r="14" customFormat="false" ht="15" hidden="false" customHeight="true" outlineLevel="0" collapsed="false">
      <c r="A14" s="3"/>
      <c r="B14" s="3"/>
      <c r="C14" s="3"/>
      <c r="D14" s="3"/>
      <c r="E14" s="3"/>
      <c r="F14" s="3"/>
      <c r="G14" s="4"/>
    </row>
    <row r="15" customFormat="false" ht="15" hidden="false" customHeight="true" outlineLevel="0" collapsed="false">
      <c r="A15" s="13" t="s">
        <v>18</v>
      </c>
      <c r="B15" s="3"/>
      <c r="C15" s="3"/>
      <c r="D15" s="3"/>
      <c r="E15" s="3"/>
      <c r="F15" s="3"/>
      <c r="G15" s="4"/>
    </row>
    <row r="16" customFormat="false" ht="15" hidden="false" customHeight="false" outlineLevel="0" collapsed="false">
      <c r="A16" s="14" t="s">
        <v>19</v>
      </c>
      <c r="B16" s="4"/>
      <c r="C16" s="4"/>
      <c r="D16" s="4"/>
      <c r="E16" s="4"/>
      <c r="F16" s="4"/>
      <c r="G16" s="4"/>
    </row>
    <row r="17" customFormat="false" ht="15" hidden="false" customHeight="false" outlineLevel="0" collapsed="false">
      <c r="A17" s="4"/>
      <c r="B17" s="4"/>
      <c r="C17" s="4"/>
      <c r="D17" s="4"/>
      <c r="E17" s="4"/>
      <c r="F17" s="4"/>
      <c r="G17" s="4"/>
    </row>
    <row r="18" customFormat="false" ht="15" hidden="false" customHeight="false" outlineLevel="0" collapsed="false">
      <c r="A18" s="4"/>
      <c r="B18" s="4"/>
      <c r="C18" s="4"/>
      <c r="D18" s="4"/>
      <c r="E18" s="4"/>
      <c r="F18" s="4"/>
      <c r="G18" s="4"/>
    </row>
    <row r="19" customFormat="false" ht="15" hidden="false" customHeight="false" outlineLevel="0" collapsed="false">
      <c r="A19" s="4"/>
      <c r="B19" s="4"/>
      <c r="C19" s="4"/>
      <c r="D19" s="4"/>
      <c r="E19" s="4"/>
      <c r="F19" s="4"/>
      <c r="G19" s="4"/>
    </row>
    <row r="20" customFormat="false" ht="15" hidden="false" customHeight="false" outlineLevel="0" collapsed="false">
      <c r="A20" s="4"/>
      <c r="B20" s="4"/>
      <c r="C20" s="4"/>
      <c r="D20" s="4"/>
      <c r="E20" s="4"/>
      <c r="F20" s="4"/>
      <c r="G20" s="4"/>
    </row>
    <row r="21" customFormat="false" ht="15" hidden="false" customHeight="false" outlineLevel="0" collapsed="false">
      <c r="A21" s="4"/>
      <c r="B21" s="4"/>
      <c r="C21" s="4"/>
      <c r="D21" s="4"/>
      <c r="E21" s="4"/>
      <c r="F21" s="4"/>
      <c r="G21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40"/>
    <col collapsed="false" customWidth="true" hidden="false" outlineLevel="0" max="3" min="3" style="1" width="38"/>
    <col collapsed="false" customWidth="true" hidden="false" outlineLevel="0" max="4" min="4" style="1" width="10"/>
    <col collapsed="false" customWidth="true" hidden="false" outlineLevel="0" max="5" min="5" style="1" width="9"/>
    <col collapsed="false" customWidth="true" hidden="false" outlineLevel="0" max="6" min="6" style="1" width="12"/>
    <col collapsed="false" customWidth="true" hidden="false" outlineLevel="0" max="7" min="7" style="1" width="11"/>
    <col collapsed="false" customWidth="true" hidden="false" outlineLevel="0" max="8" min="8" style="1" width="9"/>
    <col collapsed="false" customWidth="true" hidden="false" outlineLevel="0" max="9" min="9" style="1" width="26"/>
  </cols>
  <sheetData>
    <row r="1" customFormat="false" ht="17.25" hidden="false" customHeight="true" outlineLevel="0" collapsed="false">
      <c r="A1" s="15" t="s">
        <v>20</v>
      </c>
      <c r="B1" s="3"/>
      <c r="C1" s="3"/>
      <c r="D1" s="3"/>
      <c r="E1" s="3"/>
      <c r="F1" s="3"/>
      <c r="G1" s="3"/>
      <c r="H1" s="3"/>
      <c r="I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16" t="s">
        <v>21</v>
      </c>
      <c r="B3" s="16" t="s">
        <v>22</v>
      </c>
      <c r="C3" s="16" t="s">
        <v>23</v>
      </c>
      <c r="D3" s="16" t="s">
        <v>24</v>
      </c>
      <c r="E3" s="16" t="s">
        <v>25</v>
      </c>
      <c r="F3" s="16" t="s">
        <v>26</v>
      </c>
      <c r="G3" s="16" t="s">
        <v>27</v>
      </c>
      <c r="H3" s="16" t="s">
        <v>28</v>
      </c>
      <c r="I3" s="16" t="s">
        <v>29</v>
      </c>
    </row>
    <row r="4" customFormat="false" ht="23.25" hidden="false" customHeight="true" outlineLevel="0" collapsed="false">
      <c r="A4" s="17" t="s">
        <v>30</v>
      </c>
      <c r="B4" s="18" t="s">
        <v>31</v>
      </c>
      <c r="C4" s="18" t="s">
        <v>32</v>
      </c>
      <c r="D4" s="19" t="s">
        <v>33</v>
      </c>
      <c r="E4" s="19" t="s">
        <v>34</v>
      </c>
      <c r="F4" s="19" t="n">
        <v>2</v>
      </c>
      <c r="G4" s="19" t="n">
        <v>12.3</v>
      </c>
      <c r="H4" s="19" t="str">
        <f aca="false">IF(OR($G4="",$F4=""),"",IF($E4="↑",IF($G4&gt;=$F4,"PASS","FAIL"),IF($E4="↓",IF($G4&lt;=$F4,"PASS","FAIL"),"")))</f>
        <v>FAIL</v>
      </c>
      <c r="I4" s="18" t="s">
        <v>35</v>
      </c>
    </row>
    <row r="5" customFormat="false" ht="15" hidden="false" customHeight="true" outlineLevel="0" collapsed="false">
      <c r="A5" s="17" t="s">
        <v>36</v>
      </c>
      <c r="B5" s="18" t="s">
        <v>37</v>
      </c>
      <c r="C5" s="18" t="s">
        <v>38</v>
      </c>
      <c r="D5" s="19" t="s">
        <v>33</v>
      </c>
      <c r="E5" s="19" t="s">
        <v>34</v>
      </c>
      <c r="F5" s="19" t="n">
        <v>4</v>
      </c>
      <c r="G5" s="19" t="n">
        <v>15.2</v>
      </c>
      <c r="H5" s="19" t="str">
        <f aca="false">IF(OR($G5="",$F5=""),"",IF($E5="↑",IF($G5&gt;=$F5,"PASS","FAIL"),IF($E5="↓",IF($G5&lt;=$F5,"PASS","FAIL"),"")))</f>
        <v>FAIL</v>
      </c>
      <c r="I5" s="18" t="s">
        <v>39</v>
      </c>
    </row>
    <row r="6" customFormat="false" ht="15" hidden="false" customHeight="true" outlineLevel="0" collapsed="false">
      <c r="A6" s="17" t="s">
        <v>40</v>
      </c>
      <c r="B6" s="18" t="s">
        <v>41</v>
      </c>
      <c r="C6" s="18" t="s">
        <v>42</v>
      </c>
      <c r="D6" s="19" t="s">
        <v>33</v>
      </c>
      <c r="E6" s="19" t="s">
        <v>34</v>
      </c>
      <c r="F6" s="19" t="n">
        <v>1.5</v>
      </c>
      <c r="G6" s="19" t="n">
        <v>3.53</v>
      </c>
      <c r="H6" s="19" t="str">
        <f aca="false">IF(OR($G6="",$F6=""),"",IF($E6="↑",IF($G6&gt;=$F6,"PASS","FAIL"),IF($E6="↓",IF($G6&lt;=$F6,"PASS","FAIL"),"")))</f>
        <v>FAIL</v>
      </c>
      <c r="I6" s="18" t="s">
        <v>43</v>
      </c>
    </row>
    <row r="7" customFormat="false" ht="15" hidden="false" customHeight="true" outlineLevel="0" collapsed="false">
      <c r="A7" s="17" t="s">
        <v>44</v>
      </c>
      <c r="B7" s="18" t="s">
        <v>45</v>
      </c>
      <c r="C7" s="18" t="s">
        <v>46</v>
      </c>
      <c r="D7" s="19" t="s">
        <v>33</v>
      </c>
      <c r="E7" s="19" t="s">
        <v>34</v>
      </c>
      <c r="F7" s="19" t="n">
        <v>0.5</v>
      </c>
      <c r="G7" s="19"/>
      <c r="H7" s="20" t="s">
        <v>6</v>
      </c>
      <c r="I7" s="18" t="s">
        <v>47</v>
      </c>
    </row>
    <row r="8" customFormat="false" ht="15" hidden="false" customHeight="true" outlineLevel="0" collapsed="false">
      <c r="A8" s="17" t="s">
        <v>48</v>
      </c>
      <c r="B8" s="18" t="s">
        <v>49</v>
      </c>
      <c r="C8" s="18" t="s">
        <v>50</v>
      </c>
      <c r="D8" s="19" t="s">
        <v>51</v>
      </c>
      <c r="E8" s="19" t="s">
        <v>34</v>
      </c>
      <c r="F8" s="19" t="n">
        <v>300</v>
      </c>
      <c r="G8" s="19" t="n">
        <v>86.8</v>
      </c>
      <c r="H8" s="19" t="str">
        <f aca="false">IF(OR($G8="",$F8=""),"",IF($E8="↑",IF($G8&gt;=$F8,"PASS","FAIL"),IF($E8="↓",IF($G8&lt;=$F8,"PASS","FAIL"),"")))</f>
        <v>PASS</v>
      </c>
      <c r="I8" s="18" t="s">
        <v>52</v>
      </c>
    </row>
    <row r="9" customFormat="false" ht="15" hidden="false" customHeight="true" outlineLevel="0" collapsed="false">
      <c r="A9" s="17" t="s">
        <v>53</v>
      </c>
      <c r="B9" s="18" t="s">
        <v>54</v>
      </c>
      <c r="C9" s="18" t="s">
        <v>55</v>
      </c>
      <c r="D9" s="19" t="s">
        <v>56</v>
      </c>
      <c r="E9" s="19" t="s">
        <v>34</v>
      </c>
      <c r="F9" s="19" t="n">
        <v>0.5</v>
      </c>
      <c r="G9" s="19"/>
      <c r="H9" s="20" t="s">
        <v>6</v>
      </c>
      <c r="I9" s="18" t="s">
        <v>57</v>
      </c>
    </row>
    <row r="10" customFormat="false" ht="23.25" hidden="false" customHeight="true" outlineLevel="0" collapsed="false">
      <c r="A10" s="17" t="s">
        <v>58</v>
      </c>
      <c r="B10" s="18" t="s">
        <v>59</v>
      </c>
      <c r="C10" s="18" t="s">
        <v>60</v>
      </c>
      <c r="D10" s="19" t="s">
        <v>61</v>
      </c>
      <c r="E10" s="19" t="s">
        <v>62</v>
      </c>
      <c r="F10" s="19" t="n">
        <v>5</v>
      </c>
      <c r="G10" s="19"/>
      <c r="H10" s="20" t="s">
        <v>6</v>
      </c>
      <c r="I10" s="18" t="s">
        <v>63</v>
      </c>
    </row>
  </sheetData>
  <conditionalFormatting sqref="H4:H10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40"/>
    <col collapsed="false" customWidth="true" hidden="false" outlineLevel="0" max="3" min="3" style="1" width="38"/>
    <col collapsed="false" customWidth="true" hidden="false" outlineLevel="0" max="4" min="4" style="1" width="10"/>
    <col collapsed="false" customWidth="true" hidden="false" outlineLevel="0" max="5" min="5" style="1" width="9"/>
    <col collapsed="false" customWidth="true" hidden="false" outlineLevel="0" max="6" min="6" style="1" width="12"/>
    <col collapsed="false" customWidth="true" hidden="false" outlineLevel="0" max="7" min="7" style="1" width="11"/>
    <col collapsed="false" customWidth="true" hidden="false" outlineLevel="0" max="8" min="8" style="1" width="9"/>
    <col collapsed="false" customWidth="true" hidden="false" outlineLevel="0" max="9" min="9" style="1" width="26"/>
  </cols>
  <sheetData>
    <row r="1" customFormat="false" ht="17.25" hidden="false" customHeight="true" outlineLevel="0" collapsed="false">
      <c r="A1" s="15" t="s">
        <v>64</v>
      </c>
      <c r="B1" s="3"/>
      <c r="C1" s="3"/>
      <c r="D1" s="3"/>
      <c r="E1" s="3"/>
      <c r="F1" s="3"/>
      <c r="G1" s="3"/>
      <c r="H1" s="3"/>
      <c r="I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16" t="s">
        <v>21</v>
      </c>
      <c r="B3" s="16" t="s">
        <v>22</v>
      </c>
      <c r="C3" s="16" t="s">
        <v>23</v>
      </c>
      <c r="D3" s="16" t="s">
        <v>24</v>
      </c>
      <c r="E3" s="16" t="s">
        <v>25</v>
      </c>
      <c r="F3" s="16" t="s">
        <v>26</v>
      </c>
      <c r="G3" s="16" t="s">
        <v>27</v>
      </c>
      <c r="H3" s="16" t="s">
        <v>28</v>
      </c>
      <c r="I3" s="16" t="s">
        <v>29</v>
      </c>
    </row>
    <row r="4" customFormat="false" ht="23.25" hidden="false" customHeight="true" outlineLevel="0" collapsed="false">
      <c r="A4" s="17" t="s">
        <v>65</v>
      </c>
      <c r="B4" s="18" t="s">
        <v>66</v>
      </c>
      <c r="C4" s="18" t="s">
        <v>67</v>
      </c>
      <c r="D4" s="19" t="s">
        <v>68</v>
      </c>
      <c r="E4" s="19" t="s">
        <v>34</v>
      </c>
      <c r="F4" s="19" t="n">
        <v>15</v>
      </c>
      <c r="G4" s="19"/>
      <c r="H4" s="20" t="s">
        <v>6</v>
      </c>
      <c r="I4" s="18" t="s">
        <v>47</v>
      </c>
    </row>
    <row r="5" customFormat="false" ht="23.25" hidden="false" customHeight="true" outlineLevel="0" collapsed="false">
      <c r="A5" s="17" t="s">
        <v>69</v>
      </c>
      <c r="B5" s="18" t="s">
        <v>70</v>
      </c>
      <c r="C5" s="18" t="s">
        <v>67</v>
      </c>
      <c r="D5" s="19" t="s">
        <v>68</v>
      </c>
      <c r="E5" s="19" t="s">
        <v>34</v>
      </c>
      <c r="F5" s="19" t="n">
        <v>25</v>
      </c>
      <c r="G5" s="19"/>
      <c r="H5" s="20" t="s">
        <v>6</v>
      </c>
      <c r="I5" s="18" t="s">
        <v>47</v>
      </c>
    </row>
    <row r="6" customFormat="false" ht="15" hidden="false" customHeight="true" outlineLevel="0" collapsed="false">
      <c r="A6" s="17" t="s">
        <v>71</v>
      </c>
      <c r="B6" s="18" t="s">
        <v>72</v>
      </c>
      <c r="C6" s="18" t="s">
        <v>73</v>
      </c>
      <c r="D6" s="19" t="s">
        <v>68</v>
      </c>
      <c r="E6" s="19" t="s">
        <v>34</v>
      </c>
      <c r="F6" s="19" t="n">
        <v>8</v>
      </c>
      <c r="G6" s="19"/>
      <c r="H6" s="20" t="s">
        <v>6</v>
      </c>
      <c r="I6" s="18" t="s">
        <v>47</v>
      </c>
    </row>
    <row r="7" customFormat="false" ht="15" hidden="false" customHeight="true" outlineLevel="0" collapsed="false">
      <c r="A7" s="17" t="s">
        <v>74</v>
      </c>
      <c r="B7" s="18" t="s">
        <v>75</v>
      </c>
      <c r="C7" s="18" t="s">
        <v>76</v>
      </c>
      <c r="D7" s="19" t="s">
        <v>68</v>
      </c>
      <c r="E7" s="19" t="s">
        <v>34</v>
      </c>
      <c r="F7" s="19" t="n">
        <v>5</v>
      </c>
      <c r="G7" s="19"/>
      <c r="H7" s="20" t="s">
        <v>6</v>
      </c>
      <c r="I7" s="18" t="s">
        <v>47</v>
      </c>
    </row>
    <row r="8" customFormat="false" ht="15" hidden="false" customHeight="true" outlineLevel="0" collapsed="false">
      <c r="A8" s="17" t="s">
        <v>77</v>
      </c>
      <c r="B8" s="18" t="s">
        <v>78</v>
      </c>
      <c r="C8" s="18" t="s">
        <v>79</v>
      </c>
      <c r="D8" s="19" t="s">
        <v>80</v>
      </c>
      <c r="E8" s="19" t="s">
        <v>34</v>
      </c>
      <c r="F8" s="19" t="n">
        <v>1</v>
      </c>
      <c r="G8" s="19"/>
      <c r="H8" s="20" t="s">
        <v>6</v>
      </c>
      <c r="I8" s="18" t="s">
        <v>47</v>
      </c>
    </row>
  </sheetData>
  <conditionalFormatting sqref="H4:H8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40"/>
    <col collapsed="false" customWidth="true" hidden="false" outlineLevel="0" max="3" min="3" style="1" width="38"/>
    <col collapsed="false" customWidth="true" hidden="false" outlineLevel="0" max="4" min="4" style="1" width="10"/>
    <col collapsed="false" customWidth="true" hidden="false" outlineLevel="0" max="5" min="5" style="1" width="9"/>
    <col collapsed="false" customWidth="true" hidden="false" outlineLevel="0" max="6" min="6" style="1" width="12"/>
    <col collapsed="false" customWidth="true" hidden="false" outlineLevel="0" max="7" min="7" style="1" width="11"/>
    <col collapsed="false" customWidth="true" hidden="false" outlineLevel="0" max="8" min="8" style="1" width="9"/>
    <col collapsed="false" customWidth="true" hidden="false" outlineLevel="0" max="9" min="9" style="1" width="26"/>
  </cols>
  <sheetData>
    <row r="1" customFormat="false" ht="17.25" hidden="false" customHeight="true" outlineLevel="0" collapsed="false">
      <c r="A1" s="15" t="s">
        <v>81</v>
      </c>
      <c r="B1" s="3"/>
      <c r="C1" s="3"/>
      <c r="D1" s="3"/>
      <c r="E1" s="3"/>
      <c r="F1" s="3"/>
      <c r="G1" s="3"/>
      <c r="H1" s="3"/>
      <c r="I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16" t="s">
        <v>21</v>
      </c>
      <c r="B3" s="16" t="s">
        <v>22</v>
      </c>
      <c r="C3" s="16" t="s">
        <v>23</v>
      </c>
      <c r="D3" s="16" t="s">
        <v>24</v>
      </c>
      <c r="E3" s="16" t="s">
        <v>25</v>
      </c>
      <c r="F3" s="16" t="s">
        <v>26</v>
      </c>
      <c r="G3" s="16" t="s">
        <v>27</v>
      </c>
      <c r="H3" s="16" t="s">
        <v>28</v>
      </c>
      <c r="I3" s="16" t="s">
        <v>29</v>
      </c>
    </row>
    <row r="4" customFormat="false" ht="23.25" hidden="false" customHeight="true" outlineLevel="0" collapsed="false">
      <c r="A4" s="17" t="s">
        <v>82</v>
      </c>
      <c r="B4" s="18" t="s">
        <v>83</v>
      </c>
      <c r="C4" s="18" t="s">
        <v>84</v>
      </c>
      <c r="D4" s="19" t="s">
        <v>85</v>
      </c>
      <c r="E4" s="19" t="s">
        <v>62</v>
      </c>
      <c r="F4" s="19" t="n">
        <v>0.9</v>
      </c>
      <c r="G4" s="19"/>
      <c r="H4" s="19" t="str">
        <f aca="false">IF(OR($G4="",$F4=""),"",IF($E4="↑",IF($G4&gt;=$F4,"PASS","FAIL"),IF($E4="↓",IF($G4&lt;=$F4,"PASS","FAIL"),"")))</f>
        <v/>
      </c>
      <c r="I4" s="18" t="s">
        <v>86</v>
      </c>
    </row>
    <row r="5" customFormat="false" ht="15" hidden="false" customHeight="true" outlineLevel="0" collapsed="false">
      <c r="A5" s="17" t="s">
        <v>87</v>
      </c>
      <c r="B5" s="18" t="s">
        <v>88</v>
      </c>
      <c r="C5" s="18" t="s">
        <v>89</v>
      </c>
      <c r="D5" s="19" t="s">
        <v>85</v>
      </c>
      <c r="E5" s="19" t="s">
        <v>62</v>
      </c>
      <c r="F5" s="19" t="n">
        <v>0.9</v>
      </c>
      <c r="G5" s="19"/>
      <c r="H5" s="19" t="str">
        <f aca="false">IF(OR($G5="",$F5=""),"",IF($E5="↑",IF($G5&gt;=$F5,"PASS","FAIL"),IF($E5="↓",IF($G5&lt;=$F5,"PASS","FAIL"),"")))</f>
        <v/>
      </c>
      <c r="I5" s="18"/>
    </row>
    <row r="6" customFormat="false" ht="15" hidden="false" customHeight="true" outlineLevel="0" collapsed="false">
      <c r="A6" s="17" t="s">
        <v>90</v>
      </c>
      <c r="B6" s="18" t="s">
        <v>91</v>
      </c>
      <c r="C6" s="18" t="s">
        <v>92</v>
      </c>
      <c r="D6" s="19" t="s">
        <v>85</v>
      </c>
      <c r="E6" s="19" t="s">
        <v>62</v>
      </c>
      <c r="F6" s="19" t="n">
        <v>0.9</v>
      </c>
      <c r="G6" s="19"/>
      <c r="H6" s="19" t="str">
        <f aca="false">IF(OR($G6="",$F6=""),"",IF($E6="↑",IF($G6&gt;=$F6,"PASS","FAIL"),IF($E6="↓",IF($G6&lt;=$F6,"PASS","FAIL"),"")))</f>
        <v/>
      </c>
      <c r="I6" s="18"/>
    </row>
    <row r="7" customFormat="false" ht="23.25" hidden="false" customHeight="true" outlineLevel="0" collapsed="false">
      <c r="A7" s="17" t="s">
        <v>93</v>
      </c>
      <c r="B7" s="18" t="s">
        <v>94</v>
      </c>
      <c r="C7" s="18" t="s">
        <v>95</v>
      </c>
      <c r="D7" s="19" t="s">
        <v>85</v>
      </c>
      <c r="E7" s="19" t="s">
        <v>62</v>
      </c>
      <c r="F7" s="19" t="n">
        <v>0.85</v>
      </c>
      <c r="G7" s="19"/>
      <c r="H7" s="19" t="str">
        <f aca="false">IF(OR($G7="",$F7=""),"",IF($E7="↑",IF($G7&gt;=$F7,"PASS","FAIL"),IF($E7="↓",IF($G7&lt;=$F7,"PASS","FAIL"),"")))</f>
        <v/>
      </c>
      <c r="I7" s="18"/>
    </row>
    <row r="8" customFormat="false" ht="23.25" hidden="false" customHeight="true" outlineLevel="0" collapsed="false">
      <c r="A8" s="17" t="s">
        <v>96</v>
      </c>
      <c r="B8" s="18" t="s">
        <v>97</v>
      </c>
      <c r="C8" s="18" t="s">
        <v>98</v>
      </c>
      <c r="D8" s="19" t="s">
        <v>85</v>
      </c>
      <c r="E8" s="19" t="s">
        <v>62</v>
      </c>
      <c r="F8" s="19" t="n">
        <v>0.85</v>
      </c>
      <c r="G8" s="19"/>
      <c r="H8" s="19" t="str">
        <f aca="false">IF(OR($G8="",$F8=""),"",IF($E8="↑",IF($G8&gt;=$F8,"PASS","FAIL"),IF($E8="↓",IF($G8&lt;=$F8,"PASS","FAIL"),"")))</f>
        <v/>
      </c>
      <c r="I8" s="18"/>
    </row>
  </sheetData>
  <conditionalFormatting sqref="H4:H8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40"/>
    <col collapsed="false" customWidth="true" hidden="false" outlineLevel="0" max="3" min="3" style="1" width="38"/>
    <col collapsed="false" customWidth="true" hidden="false" outlineLevel="0" max="4" min="4" style="1" width="10"/>
    <col collapsed="false" customWidth="true" hidden="false" outlineLevel="0" max="5" min="5" style="1" width="9"/>
    <col collapsed="false" customWidth="true" hidden="false" outlineLevel="0" max="6" min="6" style="1" width="12"/>
    <col collapsed="false" customWidth="true" hidden="false" outlineLevel="0" max="7" min="7" style="1" width="11"/>
    <col collapsed="false" customWidth="true" hidden="false" outlineLevel="0" max="8" min="8" style="1" width="9"/>
    <col collapsed="false" customWidth="true" hidden="false" outlineLevel="0" max="9" min="9" style="1" width="26"/>
  </cols>
  <sheetData>
    <row r="1" customFormat="false" ht="17.25" hidden="false" customHeight="true" outlineLevel="0" collapsed="false">
      <c r="A1" s="15" t="s">
        <v>99</v>
      </c>
      <c r="B1" s="3"/>
      <c r="C1" s="3"/>
      <c r="D1" s="3"/>
      <c r="E1" s="3"/>
      <c r="F1" s="3"/>
      <c r="G1" s="3"/>
      <c r="H1" s="3"/>
      <c r="I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16" t="s">
        <v>21</v>
      </c>
      <c r="B3" s="16" t="s">
        <v>22</v>
      </c>
      <c r="C3" s="16" t="s">
        <v>23</v>
      </c>
      <c r="D3" s="16" t="s">
        <v>24</v>
      </c>
      <c r="E3" s="16" t="s">
        <v>25</v>
      </c>
      <c r="F3" s="16" t="s">
        <v>26</v>
      </c>
      <c r="G3" s="16" t="s">
        <v>27</v>
      </c>
      <c r="H3" s="16" t="s">
        <v>28</v>
      </c>
      <c r="I3" s="16" t="s">
        <v>29</v>
      </c>
    </row>
    <row r="4" customFormat="false" ht="15" hidden="false" customHeight="true" outlineLevel="0" collapsed="false">
      <c r="A4" s="17" t="s">
        <v>100</v>
      </c>
      <c r="B4" s="18" t="s">
        <v>101</v>
      </c>
      <c r="C4" s="18" t="s">
        <v>102</v>
      </c>
      <c r="D4" s="19" t="s">
        <v>85</v>
      </c>
      <c r="E4" s="19" t="s">
        <v>62</v>
      </c>
      <c r="F4" s="19" t="n">
        <v>0.9</v>
      </c>
      <c r="G4" s="19" t="n">
        <v>0.91</v>
      </c>
      <c r="H4" s="19" t="str">
        <f aca="false">IF(OR($G4="",$F4=""),"",IF($E4="↑",IF($G4&gt;=$F4,"PASS","FAIL"),IF($E4="↓",IF($G4&lt;=$F4,"PASS","FAIL"),"")))</f>
        <v>PASS</v>
      </c>
      <c r="I4" s="18" t="s">
        <v>103</v>
      </c>
    </row>
    <row r="5" customFormat="false" ht="15" hidden="false" customHeight="true" outlineLevel="0" collapsed="false">
      <c r="A5" s="17" t="s">
        <v>104</v>
      </c>
      <c r="B5" s="18" t="s">
        <v>105</v>
      </c>
      <c r="C5" s="18" t="s">
        <v>106</v>
      </c>
      <c r="D5" s="19" t="s">
        <v>85</v>
      </c>
      <c r="E5" s="19" t="s">
        <v>62</v>
      </c>
      <c r="F5" s="19" t="n">
        <v>0.6</v>
      </c>
      <c r="G5" s="19"/>
      <c r="H5" s="20" t="s">
        <v>6</v>
      </c>
      <c r="I5" s="18" t="s">
        <v>107</v>
      </c>
    </row>
    <row r="6" customFormat="false" ht="15" hidden="false" customHeight="true" outlineLevel="0" collapsed="false">
      <c r="A6" s="17" t="s">
        <v>108</v>
      </c>
      <c r="B6" s="18" t="s">
        <v>109</v>
      </c>
      <c r="C6" s="18" t="s">
        <v>110</v>
      </c>
      <c r="D6" s="19" t="s">
        <v>85</v>
      </c>
      <c r="E6" s="19" t="s">
        <v>62</v>
      </c>
      <c r="F6" s="19" t="n">
        <v>0.8</v>
      </c>
      <c r="G6" s="19" t="n">
        <v>0.8</v>
      </c>
      <c r="H6" s="19" t="str">
        <f aca="false">IF(OR($G6="",$F6=""),"",IF($E6="↑",IF($G6&gt;=$F6,"PASS","FAIL"),IF($E6="↓",IF($G6&lt;=$F6,"PASS","FAIL"),"")))</f>
        <v>PASS</v>
      </c>
      <c r="I6" s="18" t="s">
        <v>111</v>
      </c>
    </row>
    <row r="7" customFormat="false" ht="15" hidden="false" customHeight="true" outlineLevel="0" collapsed="false">
      <c r="A7" s="17" t="s">
        <v>112</v>
      </c>
      <c r="B7" s="18" t="s">
        <v>113</v>
      </c>
      <c r="C7" s="18" t="s">
        <v>114</v>
      </c>
      <c r="D7" s="19" t="s">
        <v>85</v>
      </c>
      <c r="E7" s="19" t="s">
        <v>62</v>
      </c>
      <c r="F7" s="19" t="n">
        <v>0.8</v>
      </c>
      <c r="G7" s="19" t="n">
        <v>0.83</v>
      </c>
      <c r="H7" s="19" t="str">
        <f aca="false">IF(OR($G7="",$F7=""),"",IF($E7="↑",IF($G7&gt;=$F7,"PASS","FAIL"),IF($E7="↓",IF($G7&lt;=$F7,"PASS","FAIL"),"")))</f>
        <v>PASS</v>
      </c>
      <c r="I7" s="18" t="s">
        <v>111</v>
      </c>
    </row>
    <row r="8" customFormat="false" ht="26.25" hidden="false" customHeight="true" outlineLevel="0" collapsed="false">
      <c r="A8" s="17" t="s">
        <v>115</v>
      </c>
      <c r="B8" s="18" t="s">
        <v>116</v>
      </c>
      <c r="C8" s="18" t="s">
        <v>117</v>
      </c>
      <c r="D8" s="19" t="s">
        <v>85</v>
      </c>
      <c r="E8" s="19" t="s">
        <v>62</v>
      </c>
      <c r="F8" s="19" t="n">
        <v>0.95</v>
      </c>
      <c r="G8" s="19"/>
      <c r="H8" s="19" t="str">
        <f aca="false">IF(OR($G8="",$F8=""),"",IF($E8="↑",IF($G8&gt;=$F8,"PASS","FAIL"),IF($E8="↓",IF($G8&lt;=$F8,"PASS","FAIL"),"")))</f>
        <v/>
      </c>
      <c r="I8" s="18" t="s">
        <v>118</v>
      </c>
    </row>
    <row r="9" customFormat="false" ht="26.25" hidden="false" customHeight="true" outlineLevel="0" collapsed="false">
      <c r="A9" s="17" t="s">
        <v>119</v>
      </c>
      <c r="B9" s="18" t="s">
        <v>120</v>
      </c>
      <c r="C9" s="18" t="s">
        <v>121</v>
      </c>
      <c r="D9" s="19" t="s">
        <v>68</v>
      </c>
      <c r="E9" s="19" t="s">
        <v>34</v>
      </c>
      <c r="F9" s="19" t="n">
        <v>2</v>
      </c>
      <c r="G9" s="19"/>
      <c r="H9" s="19" t="str">
        <f aca="false">IF(OR($G9="",$F9=""),"",IF($E9="↑",IF($G9&gt;=$F9,"PASS","FAIL"),IF($E9="↓",IF($G9&lt;=$F9,"PASS","FAIL"),"")))</f>
        <v/>
      </c>
      <c r="I9" s="18" t="s">
        <v>122</v>
      </c>
    </row>
    <row r="10" customFormat="false" ht="26.25" hidden="false" customHeight="true" outlineLevel="0" collapsed="false">
      <c r="A10" s="17" t="s">
        <v>123</v>
      </c>
      <c r="B10" s="18" t="s">
        <v>124</v>
      </c>
      <c r="C10" s="18" t="s">
        <v>125</v>
      </c>
      <c r="D10" s="19" t="s">
        <v>68</v>
      </c>
      <c r="E10" s="19" t="s">
        <v>34</v>
      </c>
      <c r="F10" s="19" t="n">
        <v>0</v>
      </c>
      <c r="G10" s="19"/>
      <c r="H10" s="19" t="str">
        <f aca="false">IF(OR($G10="",$F10=""),"",IF($E10="↑",IF($G10&gt;=$F10,"PASS","FAIL"),IF($E10="↓",IF($G10&lt;=$F10,"PASS","FAIL"),"")))</f>
        <v/>
      </c>
      <c r="I10" s="18" t="s">
        <v>126</v>
      </c>
    </row>
    <row r="11" customFormat="false" ht="23.25" hidden="false" customHeight="true" outlineLevel="0" collapsed="false">
      <c r="A11" s="17" t="s">
        <v>127</v>
      </c>
      <c r="B11" s="18" t="s">
        <v>128</v>
      </c>
      <c r="C11" s="18" t="s">
        <v>129</v>
      </c>
      <c r="D11" s="19" t="s">
        <v>85</v>
      </c>
      <c r="E11" s="19" t="s">
        <v>62</v>
      </c>
      <c r="F11" s="19" t="n">
        <v>0.95</v>
      </c>
      <c r="G11" s="19"/>
      <c r="H11" s="19" t="str">
        <f aca="false">IF(OR($G11="",$F11=""),"",IF($E11="↑",IF($G11&gt;=$F11,"PASS","FAIL"),IF($E11="↓",IF($G11&lt;=$F11,"PASS","FAIL"),"")))</f>
        <v/>
      </c>
      <c r="I11" s="18" t="s">
        <v>122</v>
      </c>
    </row>
  </sheetData>
  <conditionalFormatting sqref="H4:H11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40"/>
    <col collapsed="false" customWidth="true" hidden="false" outlineLevel="0" max="3" min="3" style="1" width="38"/>
    <col collapsed="false" customWidth="true" hidden="false" outlineLevel="0" max="4" min="4" style="1" width="10"/>
    <col collapsed="false" customWidth="true" hidden="false" outlineLevel="0" max="5" min="5" style="1" width="9"/>
    <col collapsed="false" customWidth="true" hidden="false" outlineLevel="0" max="6" min="6" style="1" width="12"/>
    <col collapsed="false" customWidth="true" hidden="false" outlineLevel="0" max="7" min="7" style="1" width="11"/>
    <col collapsed="false" customWidth="true" hidden="false" outlineLevel="0" max="8" min="8" style="1" width="9"/>
    <col collapsed="false" customWidth="true" hidden="false" outlineLevel="0" max="9" min="9" style="1" width="26"/>
  </cols>
  <sheetData>
    <row r="1" customFormat="false" ht="17.25" hidden="false" customHeight="true" outlineLevel="0" collapsed="false">
      <c r="A1" s="15" t="s">
        <v>130</v>
      </c>
      <c r="B1" s="3"/>
      <c r="C1" s="3"/>
      <c r="D1" s="3"/>
      <c r="E1" s="3"/>
      <c r="F1" s="3"/>
      <c r="G1" s="3"/>
      <c r="H1" s="3"/>
      <c r="I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16" t="s">
        <v>21</v>
      </c>
      <c r="B3" s="16" t="s">
        <v>22</v>
      </c>
      <c r="C3" s="16" t="s">
        <v>23</v>
      </c>
      <c r="D3" s="16" t="s">
        <v>24</v>
      </c>
      <c r="E3" s="16" t="s">
        <v>25</v>
      </c>
      <c r="F3" s="16" t="s">
        <v>26</v>
      </c>
      <c r="G3" s="16" t="s">
        <v>27</v>
      </c>
      <c r="H3" s="16" t="s">
        <v>28</v>
      </c>
      <c r="I3" s="16" t="s">
        <v>29</v>
      </c>
    </row>
    <row r="4" customFormat="false" ht="15" hidden="false" customHeight="true" outlineLevel="0" collapsed="false">
      <c r="A4" s="17" t="s">
        <v>131</v>
      </c>
      <c r="B4" s="18" t="s">
        <v>132</v>
      </c>
      <c r="C4" s="18" t="s">
        <v>133</v>
      </c>
      <c r="D4" s="19" t="s">
        <v>68</v>
      </c>
      <c r="E4" s="19" t="s">
        <v>62</v>
      </c>
      <c r="F4" s="19" t="n">
        <v>95</v>
      </c>
      <c r="G4" s="19"/>
      <c r="H4" s="19" t="str">
        <f aca="false">IF(OR($G4="",$F4=""),"",IF($E4="↑",IF($G4&gt;=$F4,"PASS","FAIL"),IF($E4="↓",IF($G4&lt;=$F4,"PASS","FAIL"),"")))</f>
        <v/>
      </c>
      <c r="I4" s="18"/>
    </row>
    <row r="5" customFormat="false" ht="23.25" hidden="false" customHeight="true" outlineLevel="0" collapsed="false">
      <c r="A5" s="17" t="s">
        <v>134</v>
      </c>
      <c r="B5" s="18" t="s">
        <v>135</v>
      </c>
      <c r="C5" s="18" t="s">
        <v>136</v>
      </c>
      <c r="D5" s="19" t="s">
        <v>85</v>
      </c>
      <c r="E5" s="19" t="s">
        <v>62</v>
      </c>
      <c r="F5" s="19" t="n">
        <v>0.8</v>
      </c>
      <c r="G5" s="19"/>
      <c r="H5" s="19" t="str">
        <f aca="false">IF(OR($G5="",$F5=""),"",IF($E5="↑",IF($G5&gt;=$F5,"PASS","FAIL"),IF($E5="↓",IF($G5&lt;=$F5,"PASS","FAIL"),"")))</f>
        <v/>
      </c>
      <c r="I5" s="18"/>
    </row>
    <row r="6" customFormat="false" ht="23.25" hidden="false" customHeight="true" outlineLevel="0" collapsed="false">
      <c r="A6" s="17" t="s">
        <v>137</v>
      </c>
      <c r="B6" s="18" t="s">
        <v>138</v>
      </c>
      <c r="C6" s="18" t="s">
        <v>139</v>
      </c>
      <c r="D6" s="19" t="s">
        <v>85</v>
      </c>
      <c r="E6" s="19" t="s">
        <v>62</v>
      </c>
      <c r="F6" s="19" t="n">
        <v>0.75</v>
      </c>
      <c r="G6" s="19"/>
      <c r="H6" s="19" t="str">
        <f aca="false">IF(OR($G6="",$F6=""),"",IF($E6="↑",IF($G6&gt;=$F6,"PASS","FAIL"),IF($E6="↓",IF($G6&lt;=$F6,"PASS","FAIL"),"")))</f>
        <v/>
      </c>
      <c r="I6" s="18"/>
    </row>
    <row r="7" customFormat="false" ht="26.25" hidden="false" customHeight="true" outlineLevel="0" collapsed="false">
      <c r="A7" s="17" t="s">
        <v>140</v>
      </c>
      <c r="B7" s="18" t="s">
        <v>141</v>
      </c>
      <c r="C7" s="18" t="s">
        <v>142</v>
      </c>
      <c r="D7" s="19" t="s">
        <v>85</v>
      </c>
      <c r="E7" s="19" t="s">
        <v>62</v>
      </c>
      <c r="F7" s="19" t="n">
        <v>0.7</v>
      </c>
      <c r="G7" s="19"/>
      <c r="H7" s="19" t="str">
        <f aca="false">IF(OR($G7="",$F7=""),"",IF($E7="↑",IF($G7&gt;=$F7,"PASS","FAIL"),IF($E7="↓",IF($G7&lt;=$F7,"PASS","FAIL"),"")))</f>
        <v/>
      </c>
      <c r="I7" s="18"/>
    </row>
    <row r="8" customFormat="false" ht="15" hidden="false" customHeight="true" outlineLevel="0" collapsed="false">
      <c r="A8" s="17" t="s">
        <v>143</v>
      </c>
      <c r="B8" s="18" t="s">
        <v>144</v>
      </c>
      <c r="C8" s="18" t="s">
        <v>145</v>
      </c>
      <c r="D8" s="19" t="s">
        <v>68</v>
      </c>
      <c r="E8" s="19" t="s">
        <v>62</v>
      </c>
      <c r="F8" s="19" t="n">
        <v>95</v>
      </c>
      <c r="G8" s="19"/>
      <c r="H8" s="19" t="str">
        <f aca="false">IF(OR($G8="",$F8=""),"",IF($E8="↑",IF($G8&gt;=$F8,"PASS","FAIL"),IF($E8="↓",IF($G8&lt;=$F8,"PASS","FAIL"),"")))</f>
        <v/>
      </c>
      <c r="I8" s="18"/>
    </row>
    <row r="9" customFormat="false" ht="15" hidden="false" customHeight="true" outlineLevel="0" collapsed="false">
      <c r="A9" s="17" t="s">
        <v>146</v>
      </c>
      <c r="B9" s="18" t="s">
        <v>147</v>
      </c>
      <c r="C9" s="18" t="s">
        <v>148</v>
      </c>
      <c r="D9" s="19" t="s">
        <v>85</v>
      </c>
      <c r="E9" s="19" t="s">
        <v>62</v>
      </c>
      <c r="F9" s="19" t="n">
        <v>0.9</v>
      </c>
      <c r="G9" s="19"/>
      <c r="H9" s="19" t="str">
        <f aca="false">IF(OR($G9="",$F9=""),"",IF($E9="↑",IF($G9&gt;=$F9,"PASS","FAIL"),IF($E9="↓",IF($G9&lt;=$F9,"PASS","FAIL"),"")))</f>
        <v/>
      </c>
      <c r="I9" s="18"/>
    </row>
  </sheetData>
  <conditionalFormatting sqref="H4:H9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40"/>
    <col collapsed="false" customWidth="true" hidden="false" outlineLevel="0" max="3" min="3" style="1" width="38"/>
    <col collapsed="false" customWidth="true" hidden="false" outlineLevel="0" max="4" min="4" style="1" width="10"/>
    <col collapsed="false" customWidth="true" hidden="false" outlineLevel="0" max="5" min="5" style="1" width="9"/>
    <col collapsed="false" customWidth="true" hidden="false" outlineLevel="0" max="6" min="6" style="1" width="12"/>
    <col collapsed="false" customWidth="true" hidden="false" outlineLevel="0" max="7" min="7" style="1" width="11"/>
    <col collapsed="false" customWidth="true" hidden="false" outlineLevel="0" max="8" min="8" style="1" width="9"/>
    <col collapsed="false" customWidth="true" hidden="false" outlineLevel="0" max="9" min="9" style="1" width="26"/>
  </cols>
  <sheetData>
    <row r="1" customFormat="false" ht="17.25" hidden="false" customHeight="true" outlineLevel="0" collapsed="false">
      <c r="A1" s="15" t="s">
        <v>149</v>
      </c>
      <c r="B1" s="3"/>
      <c r="C1" s="3"/>
      <c r="D1" s="3"/>
      <c r="E1" s="3"/>
      <c r="F1" s="3"/>
      <c r="G1" s="3"/>
      <c r="H1" s="3"/>
      <c r="I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16" t="s">
        <v>21</v>
      </c>
      <c r="B3" s="16" t="s">
        <v>22</v>
      </c>
      <c r="C3" s="16" t="s">
        <v>23</v>
      </c>
      <c r="D3" s="16" t="s">
        <v>24</v>
      </c>
      <c r="E3" s="16" t="s">
        <v>25</v>
      </c>
      <c r="F3" s="16" t="s">
        <v>26</v>
      </c>
      <c r="G3" s="16" t="s">
        <v>27</v>
      </c>
      <c r="H3" s="16" t="s">
        <v>28</v>
      </c>
      <c r="I3" s="16" t="s">
        <v>29</v>
      </c>
    </row>
    <row r="4" customFormat="false" ht="23.25" hidden="false" customHeight="true" outlineLevel="0" collapsed="false">
      <c r="A4" s="17" t="s">
        <v>150</v>
      </c>
      <c r="B4" s="18" t="s">
        <v>151</v>
      </c>
      <c r="C4" s="18" t="s">
        <v>152</v>
      </c>
      <c r="D4" s="19" t="s">
        <v>85</v>
      </c>
      <c r="E4" s="19" t="s">
        <v>62</v>
      </c>
      <c r="F4" s="19" t="n">
        <v>0.75</v>
      </c>
      <c r="G4" s="19"/>
      <c r="H4" s="20" t="s">
        <v>6</v>
      </c>
      <c r="I4" s="18" t="s">
        <v>153</v>
      </c>
    </row>
    <row r="5" customFormat="false" ht="15" hidden="false" customHeight="true" outlineLevel="0" collapsed="false">
      <c r="A5" s="17" t="s">
        <v>154</v>
      </c>
      <c r="B5" s="18" t="s">
        <v>155</v>
      </c>
      <c r="C5" s="18" t="s">
        <v>156</v>
      </c>
      <c r="D5" s="19" t="s">
        <v>157</v>
      </c>
      <c r="E5" s="19" t="s">
        <v>62</v>
      </c>
      <c r="F5" s="19" t="n">
        <v>4</v>
      </c>
      <c r="G5" s="19"/>
      <c r="H5" s="20" t="s">
        <v>6</v>
      </c>
      <c r="I5" s="18" t="s">
        <v>153</v>
      </c>
    </row>
    <row r="6" customFormat="false" ht="15" hidden="false" customHeight="true" outlineLevel="0" collapsed="false">
      <c r="A6" s="17" t="s">
        <v>158</v>
      </c>
      <c r="B6" s="18" t="s">
        <v>159</v>
      </c>
      <c r="C6" s="18" t="s">
        <v>160</v>
      </c>
      <c r="D6" s="19" t="s">
        <v>68</v>
      </c>
      <c r="E6" s="19" t="s">
        <v>34</v>
      </c>
      <c r="F6" s="19" t="n">
        <v>5</v>
      </c>
      <c r="G6" s="19"/>
      <c r="H6" s="20" t="s">
        <v>6</v>
      </c>
      <c r="I6" s="18" t="s">
        <v>153</v>
      </c>
    </row>
    <row r="7" customFormat="false" ht="15" hidden="false" customHeight="true" outlineLevel="0" collapsed="false">
      <c r="A7" s="17" t="s">
        <v>161</v>
      </c>
      <c r="B7" s="18" t="s">
        <v>162</v>
      </c>
      <c r="C7" s="18" t="s">
        <v>163</v>
      </c>
      <c r="D7" s="19" t="s">
        <v>68</v>
      </c>
      <c r="E7" s="19" t="s">
        <v>62</v>
      </c>
      <c r="F7" s="19" t="n">
        <v>95</v>
      </c>
      <c r="G7" s="19"/>
      <c r="H7" s="20" t="s">
        <v>6</v>
      </c>
      <c r="I7" s="18" t="s">
        <v>153</v>
      </c>
    </row>
  </sheetData>
  <conditionalFormatting sqref="H4:H7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40"/>
    <col collapsed="false" customWidth="true" hidden="false" outlineLevel="0" max="3" min="3" style="1" width="38"/>
    <col collapsed="false" customWidth="true" hidden="false" outlineLevel="0" max="4" min="4" style="1" width="10"/>
    <col collapsed="false" customWidth="true" hidden="false" outlineLevel="0" max="5" min="5" style="1" width="9"/>
    <col collapsed="false" customWidth="true" hidden="false" outlineLevel="0" max="6" min="6" style="1" width="12"/>
    <col collapsed="false" customWidth="true" hidden="false" outlineLevel="0" max="7" min="7" style="1" width="11"/>
    <col collapsed="false" customWidth="true" hidden="false" outlineLevel="0" max="8" min="8" style="1" width="9"/>
    <col collapsed="false" customWidth="true" hidden="false" outlineLevel="0" max="9" min="9" style="1" width="26"/>
  </cols>
  <sheetData>
    <row r="1" customFormat="false" ht="17.25" hidden="false" customHeight="true" outlineLevel="0" collapsed="false">
      <c r="A1" s="15" t="s">
        <v>164</v>
      </c>
      <c r="B1" s="3"/>
      <c r="C1" s="3"/>
      <c r="D1" s="3"/>
      <c r="E1" s="3"/>
      <c r="F1" s="3"/>
      <c r="G1" s="3"/>
      <c r="H1" s="3"/>
      <c r="I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16" t="s">
        <v>21</v>
      </c>
      <c r="B3" s="16" t="s">
        <v>22</v>
      </c>
      <c r="C3" s="16" t="s">
        <v>23</v>
      </c>
      <c r="D3" s="16" t="s">
        <v>24</v>
      </c>
      <c r="E3" s="16" t="s">
        <v>25</v>
      </c>
      <c r="F3" s="16" t="s">
        <v>26</v>
      </c>
      <c r="G3" s="16" t="s">
        <v>27</v>
      </c>
      <c r="H3" s="16" t="s">
        <v>28</v>
      </c>
      <c r="I3" s="16" t="s">
        <v>29</v>
      </c>
    </row>
    <row r="4" customFormat="false" ht="26.25" hidden="false" customHeight="true" outlineLevel="0" collapsed="false">
      <c r="A4" s="17" t="s">
        <v>165</v>
      </c>
      <c r="B4" s="18" t="s">
        <v>166</v>
      </c>
      <c r="C4" s="18" t="s">
        <v>167</v>
      </c>
      <c r="D4" s="19" t="s">
        <v>68</v>
      </c>
      <c r="E4" s="19" t="s">
        <v>62</v>
      </c>
      <c r="F4" s="19" t="n">
        <v>95</v>
      </c>
      <c r="G4" s="19" t="n">
        <v>100</v>
      </c>
      <c r="H4" s="19" t="str">
        <f aca="false">IF(OR($G4="",$F4=""),"",IF($E4="↑",IF($G4&gt;=$F4,"PASS","FAIL"),IF($E4="↓",IF($G4&lt;=$F4,"PASS","FAIL"),"")))</f>
        <v>PASS</v>
      </c>
      <c r="I4" s="18" t="s">
        <v>168</v>
      </c>
    </row>
    <row r="5" customFormat="false" ht="23.25" hidden="false" customHeight="true" outlineLevel="0" collapsed="false">
      <c r="A5" s="17" t="s">
        <v>169</v>
      </c>
      <c r="B5" s="18" t="s">
        <v>170</v>
      </c>
      <c r="C5" s="18" t="s">
        <v>171</v>
      </c>
      <c r="D5" s="19" t="s">
        <v>68</v>
      </c>
      <c r="E5" s="19" t="s">
        <v>62</v>
      </c>
      <c r="F5" s="19" t="n">
        <v>90</v>
      </c>
      <c r="G5" s="19"/>
      <c r="H5" s="19" t="str">
        <f aca="false">IF(OR($G5="",$F5=""),"",IF($E5="↑",IF($G5&gt;=$F5,"PASS","FAIL"),IF($E5="↓",IF($G5&lt;=$F5,"PASS","FAIL"),"")))</f>
        <v/>
      </c>
      <c r="I5" s="18" t="s">
        <v>172</v>
      </c>
    </row>
    <row r="6" customFormat="false" ht="15" hidden="false" customHeight="true" outlineLevel="0" collapsed="false">
      <c r="A6" s="17" t="s">
        <v>173</v>
      </c>
      <c r="B6" s="18" t="s">
        <v>174</v>
      </c>
      <c r="C6" s="18" t="s">
        <v>175</v>
      </c>
      <c r="D6" s="19" t="s">
        <v>68</v>
      </c>
      <c r="E6" s="19" t="s">
        <v>62</v>
      </c>
      <c r="F6" s="19" t="n">
        <v>99</v>
      </c>
      <c r="G6" s="19"/>
      <c r="H6" s="19" t="str">
        <f aca="false">IF(OR($G6="",$F6=""),"",IF($E6="↑",IF($G6&gt;=$F6,"PASS","FAIL"),IF($E6="↓",IF($G6&lt;=$F6,"PASS","FAIL"),"")))</f>
        <v/>
      </c>
      <c r="I6" s="18" t="s">
        <v>176</v>
      </c>
    </row>
    <row r="7" customFormat="false" ht="23.25" hidden="false" customHeight="true" outlineLevel="0" collapsed="false">
      <c r="A7" s="17" t="s">
        <v>177</v>
      </c>
      <c r="B7" s="18" t="s">
        <v>178</v>
      </c>
      <c r="C7" s="18" t="s">
        <v>179</v>
      </c>
      <c r="D7" s="19" t="s">
        <v>180</v>
      </c>
      <c r="E7" s="19" t="s">
        <v>34</v>
      </c>
      <c r="F7" s="19" t="n">
        <v>1</v>
      </c>
      <c r="G7" s="19" t="n">
        <v>0</v>
      </c>
      <c r="H7" s="19" t="str">
        <f aca="false">IF(OR($G7="",$F7=""),"",IF($E7="↑",IF($G7&gt;=$F7,"PASS","FAIL"),IF($E7="↓",IF($G7&lt;=$F7,"PASS","FAIL"),"")))</f>
        <v>PASS</v>
      </c>
      <c r="I7" s="18" t="s">
        <v>181</v>
      </c>
    </row>
  </sheetData>
  <conditionalFormatting sqref="H4:H7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40"/>
    <col collapsed="false" customWidth="true" hidden="false" outlineLevel="0" max="3" min="3" style="1" width="38"/>
    <col collapsed="false" customWidth="true" hidden="false" outlineLevel="0" max="4" min="4" style="1" width="10"/>
    <col collapsed="false" customWidth="true" hidden="false" outlineLevel="0" max="5" min="5" style="1" width="9"/>
    <col collapsed="false" customWidth="true" hidden="false" outlineLevel="0" max="6" min="6" style="1" width="12"/>
    <col collapsed="false" customWidth="true" hidden="false" outlineLevel="0" max="7" min="7" style="1" width="11"/>
    <col collapsed="false" customWidth="true" hidden="false" outlineLevel="0" max="8" min="8" style="1" width="9"/>
    <col collapsed="false" customWidth="true" hidden="false" outlineLevel="0" max="9" min="9" style="1" width="26"/>
  </cols>
  <sheetData>
    <row r="1" customFormat="false" ht="17.25" hidden="false" customHeight="true" outlineLevel="0" collapsed="false">
      <c r="A1" s="15" t="s">
        <v>182</v>
      </c>
      <c r="B1" s="3"/>
      <c r="C1" s="3"/>
      <c r="D1" s="3"/>
      <c r="E1" s="3"/>
      <c r="F1" s="3"/>
      <c r="G1" s="3"/>
      <c r="H1" s="3"/>
      <c r="I1" s="3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customFormat="false" ht="15" hidden="false" customHeight="true" outlineLevel="0" collapsed="false">
      <c r="A3" s="16" t="s">
        <v>21</v>
      </c>
      <c r="B3" s="16" t="s">
        <v>22</v>
      </c>
      <c r="C3" s="16" t="s">
        <v>23</v>
      </c>
      <c r="D3" s="16" t="s">
        <v>24</v>
      </c>
      <c r="E3" s="16" t="s">
        <v>25</v>
      </c>
      <c r="F3" s="16" t="s">
        <v>26</v>
      </c>
      <c r="G3" s="16" t="s">
        <v>27</v>
      </c>
      <c r="H3" s="16" t="s">
        <v>28</v>
      </c>
      <c r="I3" s="16" t="s">
        <v>29</v>
      </c>
    </row>
    <row r="4" customFormat="false" ht="26.25" hidden="false" customHeight="true" outlineLevel="0" collapsed="false">
      <c r="A4" s="17" t="s">
        <v>183</v>
      </c>
      <c r="B4" s="18" t="s">
        <v>184</v>
      </c>
      <c r="C4" s="18" t="s">
        <v>185</v>
      </c>
      <c r="D4" s="19" t="s">
        <v>68</v>
      </c>
      <c r="E4" s="19" t="s">
        <v>62</v>
      </c>
      <c r="F4" s="19" t="n">
        <v>85</v>
      </c>
      <c r="G4" s="19"/>
      <c r="H4" s="20" t="s">
        <v>6</v>
      </c>
      <c r="I4" s="18" t="s">
        <v>186</v>
      </c>
    </row>
    <row r="5" customFormat="false" ht="15" hidden="false" customHeight="true" outlineLevel="0" collapsed="false">
      <c r="A5" s="17" t="s">
        <v>187</v>
      </c>
      <c r="B5" s="18" t="s">
        <v>188</v>
      </c>
      <c r="C5" s="18" t="s">
        <v>189</v>
      </c>
      <c r="D5" s="19" t="s">
        <v>68</v>
      </c>
      <c r="E5" s="19" t="s">
        <v>62</v>
      </c>
      <c r="F5" s="19" t="n">
        <v>90</v>
      </c>
      <c r="G5" s="19"/>
      <c r="H5" s="20" t="s">
        <v>6</v>
      </c>
      <c r="I5" s="18" t="s">
        <v>186</v>
      </c>
    </row>
    <row r="6" customFormat="false" ht="15" hidden="false" customHeight="true" outlineLevel="0" collapsed="false">
      <c r="A6" s="17" t="s">
        <v>190</v>
      </c>
      <c r="B6" s="18" t="s">
        <v>191</v>
      </c>
      <c r="C6" s="18" t="s">
        <v>192</v>
      </c>
      <c r="D6" s="19" t="s">
        <v>193</v>
      </c>
      <c r="E6" s="19" t="s">
        <v>34</v>
      </c>
      <c r="F6" s="19" t="n">
        <v>2</v>
      </c>
      <c r="G6" s="19"/>
      <c r="H6" s="20" t="s">
        <v>6</v>
      </c>
      <c r="I6" s="18" t="s">
        <v>186</v>
      </c>
    </row>
    <row r="7" customFormat="false" ht="15" hidden="false" customHeight="true" outlineLevel="0" collapsed="false">
      <c r="A7" s="17" t="s">
        <v>194</v>
      </c>
      <c r="B7" s="18" t="s">
        <v>195</v>
      </c>
      <c r="C7" s="18" t="s">
        <v>196</v>
      </c>
      <c r="D7" s="19" t="s">
        <v>68</v>
      </c>
      <c r="E7" s="19" t="s">
        <v>62</v>
      </c>
      <c r="F7" s="19" t="n">
        <v>80</v>
      </c>
      <c r="G7" s="19"/>
      <c r="H7" s="20" t="s">
        <v>6</v>
      </c>
      <c r="I7" s="18" t="s">
        <v>186</v>
      </c>
    </row>
  </sheetData>
  <conditionalFormatting sqref="H4:H7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8"/>
    <col collapsed="false" customWidth="true" hidden="false" outlineLevel="0" max="3" min="3" style="1" width="16"/>
    <col collapsed="false" customWidth="true" hidden="false" outlineLevel="0" max="4" min="4" style="1" width="14"/>
    <col collapsed="false" customWidth="true" hidden="false" outlineLevel="0" max="5" min="5" style="1" width="40"/>
    <col collapsed="false" customWidth="true" hidden="false" outlineLevel="0" max="7" min="6" style="1" width="46"/>
    <col collapsed="false" customWidth="true" hidden="false" outlineLevel="0" max="8" min="8" style="1" width="11"/>
  </cols>
  <sheetData>
    <row r="1" customFormat="false" ht="17.25" hidden="false" customHeight="true" outlineLevel="0" collapsed="false">
      <c r="A1" s="15" t="s">
        <v>197</v>
      </c>
      <c r="B1" s="3"/>
      <c r="C1" s="3"/>
      <c r="D1" s="3"/>
      <c r="E1" s="3"/>
      <c r="F1" s="3"/>
      <c r="G1" s="3"/>
      <c r="H1" s="3"/>
    </row>
    <row r="2" customFormat="false" ht="15" hidden="false" customHeight="true" outlineLevel="0" collapsed="false">
      <c r="A2" s="5" t="s">
        <v>198</v>
      </c>
      <c r="B2" s="3"/>
      <c r="C2" s="3"/>
      <c r="D2" s="3"/>
      <c r="E2" s="3"/>
      <c r="F2" s="3"/>
      <c r="G2" s="3"/>
      <c r="H2" s="3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26.25" hidden="false" customHeight="true" outlineLevel="0" collapsed="false">
      <c r="A4" s="16" t="s">
        <v>199</v>
      </c>
      <c r="B4" s="16" t="s">
        <v>200</v>
      </c>
      <c r="C4" s="16" t="s">
        <v>201</v>
      </c>
      <c r="D4" s="16" t="s">
        <v>202</v>
      </c>
      <c r="E4" s="16" t="s">
        <v>203</v>
      </c>
      <c r="F4" s="16" t="s">
        <v>204</v>
      </c>
      <c r="G4" s="16" t="s">
        <v>205</v>
      </c>
      <c r="H4" s="16" t="s">
        <v>206</v>
      </c>
    </row>
    <row r="5" customFormat="false" ht="23.25" hidden="false" customHeight="true" outlineLevel="0" collapsed="false">
      <c r="A5" s="19" t="n">
        <v>1</v>
      </c>
      <c r="B5" s="19" t="s">
        <v>207</v>
      </c>
      <c r="C5" s="18" t="s">
        <v>208</v>
      </c>
      <c r="D5" s="18" t="s">
        <v>209</v>
      </c>
      <c r="E5" s="18" t="s">
        <v>210</v>
      </c>
      <c r="F5" s="18" t="s">
        <v>211</v>
      </c>
      <c r="G5" s="18"/>
      <c r="H5" s="19" t="s">
        <v>212</v>
      </c>
    </row>
    <row r="6" customFormat="false" ht="23.25" hidden="false" customHeight="true" outlineLevel="0" collapsed="false">
      <c r="A6" s="19" t="n">
        <v>2</v>
      </c>
      <c r="B6" s="19" t="s">
        <v>207</v>
      </c>
      <c r="C6" s="18" t="s">
        <v>213</v>
      </c>
      <c r="D6" s="18" t="s">
        <v>214</v>
      </c>
      <c r="E6" s="18" t="s">
        <v>215</v>
      </c>
      <c r="F6" s="18" t="s">
        <v>216</v>
      </c>
      <c r="G6" s="18"/>
      <c r="H6" s="19" t="s">
        <v>212</v>
      </c>
    </row>
    <row r="7" customFormat="false" ht="15" hidden="false" customHeight="true" outlineLevel="0" collapsed="false">
      <c r="A7" s="19" t="n">
        <v>3</v>
      </c>
      <c r="B7" s="19" t="s">
        <v>207</v>
      </c>
      <c r="C7" s="18" t="s">
        <v>217</v>
      </c>
      <c r="D7" s="18" t="s">
        <v>218</v>
      </c>
      <c r="E7" s="18" t="s">
        <v>219</v>
      </c>
      <c r="F7" s="18" t="s">
        <v>220</v>
      </c>
      <c r="G7" s="18"/>
      <c r="H7" s="19" t="s">
        <v>212</v>
      </c>
    </row>
    <row r="8" customFormat="false" ht="23.25" hidden="false" customHeight="true" outlineLevel="0" collapsed="false">
      <c r="A8" s="19" t="n">
        <v>4</v>
      </c>
      <c r="B8" s="19" t="s">
        <v>207</v>
      </c>
      <c r="C8" s="18" t="s">
        <v>221</v>
      </c>
      <c r="D8" s="18" t="s">
        <v>222</v>
      </c>
      <c r="E8" s="18" t="s">
        <v>223</v>
      </c>
      <c r="F8" s="18" t="s">
        <v>224</v>
      </c>
      <c r="G8" s="18"/>
      <c r="H8" s="19" t="s">
        <v>225</v>
      </c>
    </row>
    <row r="9" customFormat="false" ht="15" hidden="false" customHeight="true" outlineLevel="0" collapsed="false">
      <c r="A9" s="19" t="n">
        <v>5</v>
      </c>
      <c r="B9" s="19" t="s">
        <v>226</v>
      </c>
      <c r="C9" s="18" t="s">
        <v>208</v>
      </c>
      <c r="D9" s="18" t="s">
        <v>227</v>
      </c>
      <c r="E9" s="18" t="s">
        <v>228</v>
      </c>
      <c r="F9" s="18" t="s">
        <v>229</v>
      </c>
      <c r="G9" s="18"/>
      <c r="H9" s="19" t="s">
        <v>225</v>
      </c>
    </row>
    <row r="10" customFormat="false" ht="23.25" hidden="false" customHeight="true" outlineLevel="0" collapsed="false">
      <c r="A10" s="19" t="n">
        <v>6</v>
      </c>
      <c r="B10" s="19" t="s">
        <v>226</v>
      </c>
      <c r="C10" s="18" t="s">
        <v>230</v>
      </c>
      <c r="D10" s="18" t="s">
        <v>231</v>
      </c>
      <c r="E10" s="18" t="s">
        <v>232</v>
      </c>
      <c r="F10" s="18" t="s">
        <v>233</v>
      </c>
      <c r="G10" s="18"/>
      <c r="H10" s="19" t="s">
        <v>212</v>
      </c>
    </row>
    <row r="11" customFormat="false" ht="15" hidden="false" customHeight="true" outlineLevel="0" collapsed="false">
      <c r="A11" s="19" t="n">
        <v>7</v>
      </c>
      <c r="B11" s="19" t="s">
        <v>234</v>
      </c>
      <c r="C11" s="18" t="s">
        <v>235</v>
      </c>
      <c r="D11" s="18" t="s">
        <v>236</v>
      </c>
      <c r="E11" s="18" t="s">
        <v>237</v>
      </c>
      <c r="F11" s="18" t="s">
        <v>238</v>
      </c>
      <c r="G11" s="18"/>
      <c r="H11" s="19" t="s">
        <v>239</v>
      </c>
    </row>
    <row r="12" customFormat="false" ht="15" hidden="false" customHeight="true" outlineLevel="0" collapsed="false">
      <c r="A12" s="19" t="n">
        <v>8</v>
      </c>
      <c r="B12" s="19" t="s">
        <v>234</v>
      </c>
      <c r="C12" s="18" t="s">
        <v>240</v>
      </c>
      <c r="D12" s="18" t="s">
        <v>241</v>
      </c>
      <c r="E12" s="18" t="s">
        <v>242</v>
      </c>
      <c r="F12" s="18" t="s">
        <v>243</v>
      </c>
      <c r="G12" s="18"/>
      <c r="H12" s="19" t="s">
        <v>225</v>
      </c>
    </row>
    <row r="13" customFormat="false" ht="23.25" hidden="false" customHeight="true" outlineLevel="0" collapsed="false">
      <c r="A13" s="19" t="n">
        <v>9</v>
      </c>
      <c r="B13" s="19" t="s">
        <v>244</v>
      </c>
      <c r="C13" s="18" t="s">
        <v>245</v>
      </c>
      <c r="D13" s="18" t="s">
        <v>246</v>
      </c>
      <c r="E13" s="18" t="s">
        <v>247</v>
      </c>
      <c r="F13" s="18" t="s">
        <v>248</v>
      </c>
      <c r="G13" s="18"/>
      <c r="H13" s="19" t="s">
        <v>212</v>
      </c>
    </row>
    <row r="14" customFormat="false" ht="23.25" hidden="false" customHeight="true" outlineLevel="0" collapsed="false">
      <c r="A14" s="19" t="n">
        <v>10</v>
      </c>
      <c r="B14" s="19" t="s">
        <v>244</v>
      </c>
      <c r="C14" s="18" t="s">
        <v>249</v>
      </c>
      <c r="D14" s="18" t="s">
        <v>250</v>
      </c>
      <c r="E14" s="18" t="s">
        <v>251</v>
      </c>
      <c r="F14" s="18" t="s">
        <v>252</v>
      </c>
      <c r="G14" s="18"/>
      <c r="H14" s="19" t="s">
        <v>212</v>
      </c>
    </row>
    <row r="15" customFormat="false" ht="15" hidden="false" customHeight="true" outlineLevel="0" collapsed="false">
      <c r="A15" s="19" t="n">
        <v>11</v>
      </c>
      <c r="B15" s="19" t="s">
        <v>253</v>
      </c>
      <c r="C15" s="18" t="s">
        <v>208</v>
      </c>
      <c r="D15" s="18" t="s">
        <v>254</v>
      </c>
      <c r="E15" s="18" t="s">
        <v>255</v>
      </c>
      <c r="F15" s="18" t="s">
        <v>256</v>
      </c>
      <c r="G15" s="18"/>
      <c r="H15" s="19" t="s">
        <v>225</v>
      </c>
    </row>
    <row r="16" customFormat="false" ht="15" hidden="false" customHeight="true" outlineLevel="0" collapsed="false">
      <c r="A16" s="19" t="n">
        <v>12</v>
      </c>
      <c r="B16" s="19" t="s">
        <v>253</v>
      </c>
      <c r="C16" s="18" t="s">
        <v>208</v>
      </c>
      <c r="D16" s="18" t="s">
        <v>257</v>
      </c>
      <c r="E16" s="18" t="s">
        <v>258</v>
      </c>
      <c r="F16" s="18" t="s">
        <v>259</v>
      </c>
      <c r="G16" s="18"/>
      <c r="H16" s="19" t="s">
        <v>225</v>
      </c>
    </row>
    <row r="17" customFormat="false" ht="23.25" hidden="false" customHeight="true" outlineLevel="0" collapsed="false">
      <c r="A17" s="19" t="n">
        <v>13</v>
      </c>
      <c r="B17" s="19" t="s">
        <v>207</v>
      </c>
      <c r="C17" s="18" t="s">
        <v>260</v>
      </c>
      <c r="D17" s="18" t="s">
        <v>261</v>
      </c>
      <c r="E17" s="18" t="s">
        <v>262</v>
      </c>
      <c r="F17" s="18" t="s">
        <v>263</v>
      </c>
      <c r="G17" s="18" t="s">
        <v>264</v>
      </c>
      <c r="H17" s="19" t="s">
        <v>212</v>
      </c>
    </row>
    <row r="18" customFormat="false" ht="23.25" hidden="false" customHeight="true" outlineLevel="0" collapsed="false">
      <c r="A18" s="19" t="n">
        <v>14</v>
      </c>
      <c r="B18" s="19" t="s">
        <v>265</v>
      </c>
      <c r="C18" s="18" t="s">
        <v>266</v>
      </c>
      <c r="D18" s="18" t="s">
        <v>265</v>
      </c>
      <c r="E18" s="18" t="s">
        <v>267</v>
      </c>
      <c r="F18" s="18" t="s">
        <v>268</v>
      </c>
      <c r="G18" s="18" t="s">
        <v>269</v>
      </c>
      <c r="H18" s="19" t="s">
        <v>270</v>
      </c>
    </row>
    <row r="19" customFormat="false" ht="15" hidden="false" customHeight="true" outlineLevel="0" collapsed="false">
      <c r="A19" s="19" t="n">
        <v>15</v>
      </c>
      <c r="B19" s="19" t="s">
        <v>265</v>
      </c>
      <c r="C19" s="18" t="s">
        <v>266</v>
      </c>
      <c r="D19" s="18" t="s">
        <v>265</v>
      </c>
      <c r="E19" s="18" t="s">
        <v>267</v>
      </c>
      <c r="F19" s="18" t="s">
        <v>271</v>
      </c>
      <c r="G19" s="18" t="s">
        <v>272</v>
      </c>
      <c r="H19" s="19" t="s">
        <v>270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2026-07-01T09:36:24Z</dcterms:created>
  <dc:creator>openpyxl</dc:creator>
  <dc:description/>
  <dc:language>en-US</dc:language>
  <cp:lastModifiedBy/>
  <dcterms:modified xsi:type="dcterms:W3CDTF">2026-07-02T09:59:58Z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