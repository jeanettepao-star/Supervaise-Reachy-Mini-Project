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orecard" sheetId="1" state="visible" r:id="rId3"/>
    <sheet name="Retrieval_per_query" sheetId="2" state="visible" r:id="rId4"/>
    <sheet name="Run_context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<sst xmlns="http://schemas.openxmlformats.org/spreadsheetml/2006/main" count="438" uniqueCount="267">
  <si>
    <t xml:space="preserve">CJP Robot — Task A RAG Evaluation Metrics</t>
  </si>
  <si>
    <t xml:space="preserve">Run: w2.1 (native SDK, Sonnet-4.6 composer, cap+length discipline) · anchor=w2.1 · 40 queries · frozen_set_sha256 65492b65… · run 2026-07-01</t>
  </si>
  <si>
    <t xml:space="preserve">Stage</t>
  </si>
  <si>
    <t xml:space="preserve">Metric</t>
  </si>
  <si>
    <t xml:space="preserve">k</t>
  </si>
  <si>
    <t xml:space="preserve">Value</t>
  </si>
  <si>
    <t xml:space="preserve">Target / read</t>
  </si>
  <si>
    <t xml:space="preserve">Source</t>
  </si>
  <si>
    <t xml:space="preserve">How computed / note</t>
  </si>
  <si>
    <t xml:space="preserve">INTERMEDIATE — RETRIEVAL (diagnostic: did the hybrid retriever fetch the right chunks?)  ·  n=35 scorable (5 excluded: META X31/X32, OOS X35/X36, GAP X39)</t>
  </si>
  <si>
    <t xml:space="preserve">Retrieval</t>
  </si>
  <si>
    <t xml:space="preserve">Recall@k  (HEADLINE)</t>
  </si>
  <si>
    <t xml:space="preserve">1</t>
  </si>
  <si>
    <t xml:space="preserve">higher=better</t>
  </si>
  <si>
    <t xml:space="preserve">[2] BEIR</t>
  </si>
  <si>
    <t xml:space="preserve">Fraction of a query's gold primary-source docs appearing in top-k retrieved docs (chunks→doc, deduped by best rank); macro-avg.</t>
  </si>
  <si>
    <t xml:space="preserve">Recall@k</t>
  </si>
  <si>
    <t xml:space="preserve">3</t>
  </si>
  <si>
    <t xml:space="preserve">Recall@k  ← headline number</t>
  </si>
  <si>
    <t xml:space="preserve">5</t>
  </si>
  <si>
    <t xml:space="preserve">headline retrieval KPI</t>
  </si>
  <si>
    <t xml:space="preserve">10</t>
  </si>
  <si>
    <t xml:space="preserve">plateau = ceiling of what retriever can find</t>
  </si>
  <si>
    <t xml:space="preserve">Precision@k</t>
  </si>
  <si>
    <t xml:space="preserve">[2][4]</t>
  </si>
  <si>
    <t xml:space="preserve">Fraction of top-k retrieved docs that are gold; macro-avg. Falls with k by design (few gold docs/query).</t>
  </si>
  <si>
    <t xml:space="preserve">MRR</t>
  </si>
  <si>
    <t xml:space="preserve">—</t>
  </si>
  <si>
    <t xml:space="preserve">→1 = first hit at rank 1</t>
  </si>
  <si>
    <t xml:space="preserve">[3] TREC</t>
  </si>
  <si>
    <t xml:space="preserve">Mean of 1/rank of the first gold doc across scorable queries.</t>
  </si>
  <si>
    <t xml:space="preserve">Answerable@5 (hit@5, binary)</t>
  </si>
  <si>
    <t xml:space="preserve">supporting</t>
  </si>
  <si>
    <t xml:space="preserve">[1][2]</t>
  </si>
  <si>
    <t xml:space="preserve">≥1 gold doc retrieved by rank 5 (binary). Supplements Recall@5; matches prior run summary.</t>
  </si>
  <si>
    <t xml:space="preserve">Primary-source MISSES</t>
  </si>
  <si>
    <t xml:space="preserve">A4, B9, X33</t>
  </si>
  <si>
    <t xml:space="preserve">actionable gaps</t>
  </si>
  <si>
    <t xml:space="preserve">[2]</t>
  </si>
  <si>
    <t xml:space="preserve">No gold doc retrieved in top-12. X33 is HIGH-STAKES (Echegaray/death-penalty).</t>
  </si>
  <si>
    <t xml:space="preserve">END-TO-END — did the final Sonnet-composed answer come out good?  ·  n=40 (quality surfaces from the human + LLM-judge workbook; objective signals from the run)</t>
  </si>
  <si>
    <t xml:space="preserve">End-to-end</t>
  </si>
  <si>
    <t xml:space="preserve">Grounding — citation grounding</t>
  </si>
  <si>
    <t xml:space="preserve">→1</t>
  </si>
  <si>
    <t xml:space="preserve">[4] RAGAs</t>
  </si>
  <si>
    <t xml:space="preserve">Objective: 122/122 envelope-cited doc_ids are present in the retrieved context. 0 citations invented.</t>
  </si>
  <si>
    <t xml:space="preserve">Grounding — fact coverage (human)</t>
  </si>
  <si>
    <t xml:space="preserve">Facts covered / facts scored, 108-fact checklist, human rater KCVB.</t>
  </si>
  <si>
    <t xml:space="preserve">Grounding — fact coverage (LLM-judge)</t>
  </si>
  <si>
    <t xml:space="preserve">[4][7]</t>
  </si>
  <si>
    <t xml:space="preserve">Same checklist, Claude-as-judge (slightly more lenient on partial coverage).</t>
  </si>
  <si>
    <t xml:space="preserve">Hallucination — contradicted facts</t>
  </si>
  <si>
    <t xml:space="preserve">→0</t>
  </si>
  <si>
    <t xml:space="preserve">[5][6]</t>
  </si>
  <si>
    <t xml:space="preserve">0/108 facts contradicted; 0 high-stakes contradictions (human + judge agree).</t>
  </si>
  <si>
    <t xml:space="preserve">Hallucination — invented citations</t>
  </si>
  <si>
    <t xml:space="preserve">[6]</t>
  </si>
  <si>
    <t xml:space="preserve">0/122 cited docs absent from retrieved context.</t>
  </si>
  <si>
    <t xml:space="preserve">Hallucination — fabrication-risk flag</t>
  </si>
  <si>
    <t xml:space="preserve">X39</t>
  </si>
  <si>
    <t xml:space="preserve">review</t>
  </si>
  <si>
    <t xml:space="preserve">X39 (memorable-trip) produced specific unverifiable narrative; 0/2 facts covered. Watch item.</t>
  </si>
  <si>
    <t xml:space="preserve">Answer relevance (human, 1-5)</t>
  </si>
  <si>
    <t xml:space="preserve">→5</t>
  </si>
  <si>
    <t xml:space="preserve">Does the answer address the question. Human mean over 40.</t>
  </si>
  <si>
    <t xml:space="preserve">Answer relevance (LLM-judge, 1-5)</t>
  </si>
  <si>
    <t xml:space="preserve">Persona correctness (human, 1-5)</t>
  </si>
  <si>
    <t xml:space="preserve">[7] LLM-judge</t>
  </si>
  <si>
    <t xml:space="preserve">Sounds like CJP. Human mean; LLM-judge 5.00.</t>
  </si>
  <si>
    <t xml:space="preserve">Naturalness (human, 1-5)</t>
  </si>
  <si>
    <t xml:space="preserve">[7]</t>
  </si>
  <si>
    <t xml:space="preserve">Fluency. Human &amp; judge both 5.00.</t>
  </si>
  <si>
    <t xml:space="preserve">Routing / scope correctness</t>
  </si>
  <si>
    <t xml:space="preserve">Objective: 40/40 scope decisions correct; OOS X35/X36 both gracefully declined; 0 in-scope refusals; envelope parsed 40/40; 0 pre-composition LLM calls.</t>
  </si>
  <si>
    <t xml:space="preserve">A/B win rate  (HEADLINE)</t>
  </si>
  <si>
    <t xml:space="preserve">PENDING</t>
  </si>
  <si>
    <t xml:space="preserve">assessors</t>
  </si>
  <si>
    <t xml:space="preserve">[7] Arena</t>
  </si>
  <si>
    <t xml:space="preserve">Requires a B variant + independent assessors (Task D A/B workbook). Not derivable from a single run.</t>
  </si>
  <si>
    <t xml:space="preserve">Judge calibration — factual agreement</t>
  </si>
  <si>
    <t xml:space="preserve">12-item human vs judge subsample: 100% factual agreement.</t>
  </si>
  <si>
    <t xml:space="preserve">Judge calibration — faithfulness mean |Δ|</t>
  </si>
  <si>
    <t xml:space="preserve">Human vs judge faithfulness gap; small = judge trustworthy.</t>
  </si>
  <si>
    <t xml:space="preserve">SUPPORTING (referenced but not computed in this environment)</t>
  </si>
  <si>
    <t xml:space="preserve">Support</t>
  </si>
  <si>
    <t xml:space="preserve">Semantic Answer Similarity</t>
  </si>
  <si>
    <t xml:space="preserve">N/C</t>
  </si>
  <si>
    <t xml:space="preserve">optional</t>
  </si>
  <si>
    <t xml:space="preserve">[8]</t>
  </si>
  <si>
    <t xml:space="preserve">Needs a sentence-embedding model (blocked here). Superseded by the human+judge relevance surface for open-ended answers.</t>
  </si>
  <si>
    <t xml:space="preserve">BERTScore</t>
  </si>
  <si>
    <t xml:space="preserve">[9]</t>
  </si>
  <si>
    <t xml:space="preserve">Needs BERT inference (blocked here). Same rationale.</t>
  </si>
  <si>
    <t xml:space="preserve">qid</t>
  </si>
  <si>
    <t xml:space="preserve">theme</t>
  </si>
  <si>
    <t xml:space="preserve">qtype</t>
  </si>
  <si>
    <t xml:space="preserve">stakes</t>
  </si>
  <si>
    <t xml:space="preserve">ngold</t>
  </si>
  <si>
    <t xml:space="preserve">gold</t>
  </si>
  <si>
    <t xml:space="preserve">retrieved_docs(top10)</t>
  </si>
  <si>
    <t xml:space="preserve">first_hit</t>
  </si>
  <si>
    <t xml:space="preserve">rr</t>
  </si>
  <si>
    <t xml:space="preserve">recall@1</t>
  </si>
  <si>
    <t xml:space="preserve">recall@3</t>
  </si>
  <si>
    <t xml:space="preserve">recall@5</t>
  </si>
  <si>
    <t xml:space="preserve">recall@10</t>
  </si>
  <si>
    <t xml:space="preserve">precision@5</t>
  </si>
  <si>
    <t xml:space="preserve">A1</t>
  </si>
  <si>
    <t xml:space="preserve">A</t>
  </si>
  <si>
    <t xml:space="preserve">def</t>
  </si>
  <si>
    <t xml:space="preserve">std</t>
  </si>
  <si>
    <t xml:space="preserve">CA031;SB028</t>
  </si>
  <si>
    <t xml:space="preserve">CA031;SB028;CD003;CB001</t>
  </si>
  <si>
    <t xml:space="preserve">A2</t>
  </si>
  <si>
    <t xml:space="preserve">doc</t>
  </si>
  <si>
    <t xml:space="preserve">BD001;BD002</t>
  </si>
  <si>
    <t xml:space="preserve">SB065;BD002;CA031;BD001;BD005;BD003;CC006;CA127</t>
  </si>
  <si>
    <t xml:space="preserve">A3</t>
  </si>
  <si>
    <t xml:space="preserve">case</t>
  </si>
  <si>
    <t xml:space="preserve">CA242</t>
  </si>
  <si>
    <t xml:space="preserve">CA242;BD003;BD001;CA330;BA009;BD005;CE008</t>
  </si>
  <si>
    <t xml:space="preserve">A4</t>
  </si>
  <si>
    <t xml:space="preserve">stance</t>
  </si>
  <si>
    <t xml:space="preserve">CA111;CA112;CA085</t>
  </si>
  <si>
    <t xml:space="preserve">CE003;SA049;CA377;SE036;SD035;CA095;SB040;SB065;CE008;SA011</t>
  </si>
  <si>
    <t xml:space="preserve">MISS</t>
  </si>
  <si>
    <t xml:space="preserve">A5</t>
  </si>
  <si>
    <t xml:space="preserve">CA095;CA127</t>
  </si>
  <si>
    <t xml:space="preserve">CA095;BE003;BE001;BD003;SE012;BE002;BD006;SD002</t>
  </si>
  <si>
    <t xml:space="preserve">A6</t>
  </si>
  <si>
    <t xml:space="preserve">CA330;CA004;CA005</t>
  </si>
  <si>
    <t xml:space="preserve">CA004;CA005;CA330;SB028;CA377;BA009</t>
  </si>
  <si>
    <t xml:space="preserve">B7</t>
  </si>
  <si>
    <t xml:space="preserve">B</t>
  </si>
  <si>
    <t xml:space="preserve">SB028;SB040</t>
  </si>
  <si>
    <t xml:space="preserve">SB040;SB028;CB005;SA011;CB006;SB051</t>
  </si>
  <si>
    <t xml:space="preserve">B8</t>
  </si>
  <si>
    <t xml:space="preserve">SA011;SB028</t>
  </si>
  <si>
    <t xml:space="preserve">SA011;SB028;SE036;CC002;CD005;CD003;CC006;SD016</t>
  </si>
  <si>
    <t xml:space="preserve">B9</t>
  </si>
  <si>
    <t xml:space="preserve">CB006;CB005;CB007</t>
  </si>
  <si>
    <t xml:space="preserve">CD003;SD021;SD009;CD008;CD011;SB028;SD016;CB008;SB051</t>
  </si>
  <si>
    <t xml:space="preserve">B10</t>
  </si>
  <si>
    <t xml:space="preserve">SD021;CD008</t>
  </si>
  <si>
    <t xml:space="preserve">SD009;CD008;SB006;SD021;SD016</t>
  </si>
  <si>
    <t xml:space="preserve">B11</t>
  </si>
  <si>
    <t xml:space="preserve">CB007;CB005</t>
  </si>
  <si>
    <t xml:space="preserve">CB005;CB007;SB040;CA031;CA095;BD002;BD005</t>
  </si>
  <si>
    <t xml:space="preserve">B12</t>
  </si>
  <si>
    <t xml:space="preserve">multi</t>
  </si>
  <si>
    <t xml:space="preserve">SB028;CB008</t>
  </si>
  <si>
    <t xml:space="preserve">SB028;CB008;CB006;SD035;SD016;SB040</t>
  </si>
  <si>
    <t xml:space="preserve">C13</t>
  </si>
  <si>
    <t xml:space="preserve">C</t>
  </si>
  <si>
    <t xml:space="preserve">BC001</t>
  </si>
  <si>
    <t xml:space="preserve">BC001;SB042;CC006;GC003;SE036;SA011;CC002;SD016</t>
  </si>
  <si>
    <t xml:space="preserve">C14</t>
  </si>
  <si>
    <t xml:space="preserve">BC001;SA011;CC002</t>
  </si>
  <si>
    <t xml:space="preserve">SA011;SB042;CC006;CC002;SB039;BD003;SE036</t>
  </si>
  <si>
    <t xml:space="preserve">C15</t>
  </si>
  <si>
    <t xml:space="preserve">BC001;CC006;SB028;SE036;SA011;CB007;SB006;SD016</t>
  </si>
  <si>
    <t xml:space="preserve">C16</t>
  </si>
  <si>
    <t xml:space="preserve">CC001</t>
  </si>
  <si>
    <t xml:space="preserve">CC001;BE002;SB028;CC009;BD001</t>
  </si>
  <si>
    <t xml:space="preserve">C17</t>
  </si>
  <si>
    <t xml:space="preserve">CC002;SB042</t>
  </si>
  <si>
    <t xml:space="preserve">SE036;SB042;CC002;CE003;CC006;SC005;SB050;BC001</t>
  </si>
  <si>
    <t xml:space="preserve">C18</t>
  </si>
  <si>
    <t xml:space="preserve">SC010;CC008</t>
  </si>
  <si>
    <t xml:space="preserve">SA011;SC010;SE036;CC008;CC006;SB042;SC005</t>
  </si>
  <si>
    <t xml:space="preserve">D19</t>
  </si>
  <si>
    <t xml:space="preserve">D</t>
  </si>
  <si>
    <t xml:space="preserve">SD016</t>
  </si>
  <si>
    <t xml:space="preserve">SD016;CB005;SB040;SB028;SD004;SA011;SB051;SD002;CB006</t>
  </si>
  <si>
    <t xml:space="preserve">D20</t>
  </si>
  <si>
    <t xml:space="preserve">CD003;CD001;CD005</t>
  </si>
  <si>
    <t xml:space="preserve">CD001;SD016;CD005;SA011;SB006;SD035;SD021;SD002</t>
  </si>
  <si>
    <t xml:space="preserve">D21</t>
  </si>
  <si>
    <t xml:space="preserve">orphan</t>
  </si>
  <si>
    <t xml:space="preserve">SD002;SC007</t>
  </si>
  <si>
    <t xml:space="preserve">SD002;SD021;SD016;SC007</t>
  </si>
  <si>
    <t xml:space="preserve">D22</t>
  </si>
  <si>
    <t xml:space="preserve">CB003;CD003;CA031</t>
  </si>
  <si>
    <t xml:space="preserve">CA031;CD003;CB003;SB040;SB028;CD001</t>
  </si>
  <si>
    <t xml:space="preserve">D23</t>
  </si>
  <si>
    <t xml:space="preserve">CD008;SB050</t>
  </si>
  <si>
    <t xml:space="preserve">CB004;CD008;SD021;SD016;CA031;SB063;CB003</t>
  </si>
  <si>
    <t xml:space="preserve">D24</t>
  </si>
  <si>
    <t xml:space="preserve">SB050;SD035;SD016</t>
  </si>
  <si>
    <t xml:space="preserve">SB050;SD035;SB040;CD001;CC006;CE009</t>
  </si>
  <si>
    <t xml:space="preserve">E25</t>
  </si>
  <si>
    <t xml:space="preserve">E</t>
  </si>
  <si>
    <t xml:space="preserve">CA010;CA009</t>
  </si>
  <si>
    <t xml:space="preserve">CA010;CA009;CA013;CA011</t>
  </si>
  <si>
    <t xml:space="preserve">E26</t>
  </si>
  <si>
    <t xml:space="preserve">CA003</t>
  </si>
  <si>
    <t xml:space="preserve">CA003;CA009;CA031;CE003;CA010</t>
  </si>
  <si>
    <t xml:space="preserve">E27</t>
  </si>
  <si>
    <t xml:space="preserve">CA009;CE003</t>
  </si>
  <si>
    <t xml:space="preserve">CA009;CE003;BD003;CA010;SE012;CB007</t>
  </si>
  <si>
    <t xml:space="preserve">E28</t>
  </si>
  <si>
    <t xml:space="preserve">CA189;CA112;CE007;CC022</t>
  </si>
  <si>
    <t xml:space="preserve">BD001;CE008;CA377;CE007;BD003;BD005;BA009</t>
  </si>
  <si>
    <t xml:space="preserve">E29</t>
  </si>
  <si>
    <t xml:space="preserve">CA034;SA049;CA242;SE012;CE102;CC069;CE004</t>
  </si>
  <si>
    <t xml:space="preserve">E30</t>
  </si>
  <si>
    <t xml:space="preserve">BD001</t>
  </si>
  <si>
    <t xml:space="preserve">BD001;BA009;BD004;CA005;CA003;CA127;BD003;BD005</t>
  </si>
  <si>
    <t xml:space="preserve">X33</t>
  </si>
  <si>
    <t xml:space="preserve">X</t>
  </si>
  <si>
    <t xml:space="preserve">hs</t>
  </si>
  <si>
    <t xml:space="preserve">BA037;CA371</t>
  </si>
  <si>
    <t xml:space="preserve">CA003;CE008;CA242;CA031;CE003;BE003;SA011;SA049</t>
  </si>
  <si>
    <t xml:space="preserve">X34</t>
  </si>
  <si>
    <t xml:space="preserve">date</t>
  </si>
  <si>
    <t xml:space="preserve">X37</t>
  </si>
  <si>
    <t xml:space="preserve">CA031;SB028;CD003;CB006;CB005;BE002</t>
  </si>
  <si>
    <t xml:space="preserve">X38</t>
  </si>
  <si>
    <t xml:space="preserve">SB028;CA095</t>
  </si>
  <si>
    <t xml:space="preserve">SB028;SA011;CB008;CB005;SD021;CE003;SB040</t>
  </si>
  <si>
    <t xml:space="preserve">X40</t>
  </si>
  <si>
    <t xml:space="preserve">persona</t>
  </si>
  <si>
    <t xml:space="preserve">CC002;SB028</t>
  </si>
  <si>
    <t xml:space="preserve">SB028;SE036;SC010;SA011;SB063;CC002</t>
  </si>
  <si>
    <t xml:space="preserve">MACRO</t>
  </si>
  <si>
    <t xml:space="preserve">PROVENANCE</t>
  </si>
  <si>
    <t xml:space="preserve">anchor</t>
  </si>
  <si>
    <t xml:space="preserve">w2.1 (production streamed composer: cap + length discipline + trailing envelope)</t>
  </si>
  <si>
    <t xml:space="preserve">compared_against</t>
  </si>
  <si>
    <t xml:space="preserve">arch-baseline (immutable W1 anchor)</t>
  </si>
  <si>
    <t xml:space="preserve">frozen_set_sha256</t>
  </si>
  <si>
    <t xml:space="preserve">65492b650aec8dda5e76be21c32aaae3faf61f9663c6c58ace02b5a6c4bc9a63</t>
  </si>
  <si>
    <t xml:space="preserve">run_timestamp</t>
  </si>
  <si>
    <t xml:space="preserve">2026-07-01T23:39:17+08:00</t>
  </si>
  <si>
    <t xml:space="preserve">n_queries / measured / degraded</t>
  </si>
  <si>
    <t xml:space="preserve">40 / 40 / 0</t>
  </si>
  <si>
    <t xml:space="preserve">composer_model</t>
  </si>
  <si>
    <t xml:space="preserve">claude-sonnet-4-6</t>
  </si>
  <si>
    <t xml:space="preserve">embed_device</t>
  </si>
  <si>
    <t xml:space="preserve">cuda</t>
  </si>
  <si>
    <t xml:space="preserve">transport</t>
  </si>
  <si>
    <t xml:space="preserve">native_sdk</t>
  </si>
  <si>
    <t xml:space="preserve">RETRIEVER CONFIG</t>
  </si>
  <si>
    <t xml:space="preserve">LAMBDA / TAU / RRF_K</t>
  </si>
  <si>
    <t xml:space="preserve">0.25 / 0.3 / 60</t>
  </si>
  <si>
    <t xml:space="preserve">MIN_K / MAX_K</t>
  </si>
  <si>
    <t xml:space="preserve">3 / 12</t>
  </si>
  <si>
    <t xml:space="preserve">OUT_OF_SCOPE_THRESHOLD</t>
  </si>
  <si>
    <t xml:space="preserve">LATENCY (ms, warmed p50 / p95)</t>
  </si>
  <si>
    <t xml:space="preserve">retrieval</t>
  </si>
  <si>
    <t xml:space="preserve">86.8 / 128.4</t>
  </si>
  <si>
    <t xml:space="preserve">router</t>
  </si>
  <si>
    <t xml:space="preserve">542.5 / 554.1</t>
  </si>
  <si>
    <t xml:space="preserve">composer</t>
  </si>
  <si>
    <t xml:space="preserve">11674.9 / 14555.1</t>
  </si>
  <si>
    <t xml:space="preserve">ttft</t>
  </si>
  <si>
    <t xml:space="preserve">1721.8 / 3526.3</t>
  </si>
  <si>
    <t xml:space="preserve">total e2e</t>
  </si>
  <si>
    <t xml:space="preserve">12316.7 / 15160.7</t>
  </si>
  <si>
    <t xml:space="preserve">COST</t>
  </si>
  <si>
    <t xml:space="preserve">cost/query (cached)</t>
  </si>
  <si>
    <t xml:space="preserve">run total (cached)</t>
  </si>
  <si>
    <t xml:space="preserve">INTEGRITY</t>
  </si>
  <si>
    <t xml:space="preserve">envelope_parsed_ok</t>
  </si>
  <si>
    <t xml:space="preserve">40/40</t>
  </si>
  <si>
    <t xml:space="preserve">cap truncations</t>
  </si>
  <si>
    <t xml:space="preserve">pre-composition LLM calls all zero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</si>
</sst>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b val="true"/>
      <sz val="11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F2F2F2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4"/>
    <col collapsed="false" customWidth="true" hidden="false" outlineLevel="0" max="3" min="3" style="0" width="5"/>
    <col collapsed="false" customWidth="true" hidden="false" outlineLevel="0" max="4" min="4" style="0" width="10"/>
    <col collapsed="false" customWidth="true" hidden="false" outlineLevel="0" max="5" min="5" style="0" width="20"/>
    <col collapsed="false" customWidth="true" hidden="false" outlineLevel="0" max="6" min="6" style="0" width="13"/>
    <col collapsed="false" customWidth="true" hidden="false" outlineLevel="0" max="7" min="7" style="0" width="6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15" hidden="false" customHeight="false" outlineLevel="0" collapsed="false">
      <c r="A5" s="4" t="s">
        <v>9</v>
      </c>
      <c r="B5" s="4"/>
      <c r="C5" s="4"/>
      <c r="D5" s="4"/>
      <c r="E5" s="4"/>
      <c r="F5" s="4"/>
      <c r="G5" s="4"/>
    </row>
    <row r="6" customFormat="false" ht="39.55" hidden="false" customHeight="false" outlineLevel="0" collapsed="false">
      <c r="A6" s="5" t="s">
        <v>10</v>
      </c>
      <c r="B6" s="5" t="s">
        <v>11</v>
      </c>
      <c r="C6" s="6" t="s">
        <v>12</v>
      </c>
      <c r="D6" s="6" t="n">
        <v>0.433</v>
      </c>
      <c r="E6" s="5" t="s">
        <v>13</v>
      </c>
      <c r="F6" s="5" t="s">
        <v>14</v>
      </c>
      <c r="G6" s="5" t="s">
        <v>15</v>
      </c>
    </row>
    <row r="7" customFormat="false" ht="15" hidden="false" customHeight="false" outlineLevel="0" collapsed="false">
      <c r="A7" s="5" t="s">
        <v>10</v>
      </c>
      <c r="B7" s="5" t="s">
        <v>16</v>
      </c>
      <c r="C7" s="6" t="s">
        <v>17</v>
      </c>
      <c r="D7" s="7" t="n">
        <v>0.733</v>
      </c>
      <c r="E7" s="5"/>
      <c r="F7" s="5" t="s">
        <v>14</v>
      </c>
      <c r="G7" s="5"/>
    </row>
    <row r="8" customFormat="false" ht="26.85" hidden="false" customHeight="false" outlineLevel="0" collapsed="false">
      <c r="A8" s="5" t="s">
        <v>10</v>
      </c>
      <c r="B8" s="5" t="s">
        <v>18</v>
      </c>
      <c r="C8" s="6" t="s">
        <v>19</v>
      </c>
      <c r="D8" s="7" t="n">
        <v>0.807</v>
      </c>
      <c r="E8" s="5" t="s">
        <v>20</v>
      </c>
      <c r="F8" s="5" t="s">
        <v>14</v>
      </c>
      <c r="G8" s="5"/>
    </row>
    <row r="9" customFormat="false" ht="39.55" hidden="false" customHeight="false" outlineLevel="0" collapsed="false">
      <c r="A9" s="5" t="s">
        <v>10</v>
      </c>
      <c r="B9" s="5" t="s">
        <v>16</v>
      </c>
      <c r="C9" s="6" t="s">
        <v>21</v>
      </c>
      <c r="D9" s="6" t="n">
        <v>0.821</v>
      </c>
      <c r="E9" s="5" t="s">
        <v>22</v>
      </c>
      <c r="F9" s="5" t="s">
        <v>14</v>
      </c>
      <c r="G9" s="5"/>
    </row>
    <row r="10" customFormat="false" ht="26.85" hidden="false" customHeight="false" outlineLevel="0" collapsed="false">
      <c r="A10" s="5" t="s">
        <v>10</v>
      </c>
      <c r="B10" s="5" t="s">
        <v>23</v>
      </c>
      <c r="C10" s="6" t="s">
        <v>12</v>
      </c>
      <c r="D10" s="6" t="n">
        <v>0.714</v>
      </c>
      <c r="E10" s="5" t="s">
        <v>13</v>
      </c>
      <c r="F10" s="5" t="s">
        <v>24</v>
      </c>
      <c r="G10" s="5" t="s">
        <v>25</v>
      </c>
    </row>
    <row r="11" customFormat="false" ht="15" hidden="false" customHeight="false" outlineLevel="0" collapsed="false">
      <c r="A11" s="5" t="s">
        <v>10</v>
      </c>
      <c r="B11" s="5" t="s">
        <v>23</v>
      </c>
      <c r="C11" s="6" t="s">
        <v>17</v>
      </c>
      <c r="D11" s="6" t="n">
        <v>0.448</v>
      </c>
      <c r="E11" s="5"/>
      <c r="F11" s="5" t="s">
        <v>24</v>
      </c>
      <c r="G11" s="5"/>
    </row>
    <row r="12" customFormat="false" ht="15" hidden="false" customHeight="false" outlineLevel="0" collapsed="false">
      <c r="A12" s="5" t="s">
        <v>10</v>
      </c>
      <c r="B12" s="5" t="s">
        <v>23</v>
      </c>
      <c r="C12" s="6" t="s">
        <v>19</v>
      </c>
      <c r="D12" s="6" t="n">
        <v>0.303</v>
      </c>
      <c r="E12" s="5"/>
      <c r="F12" s="5" t="s">
        <v>24</v>
      </c>
      <c r="G12" s="5"/>
    </row>
    <row r="13" customFormat="false" ht="15" hidden="false" customHeight="false" outlineLevel="0" collapsed="false">
      <c r="A13" s="5" t="s">
        <v>10</v>
      </c>
      <c r="B13" s="5" t="s">
        <v>23</v>
      </c>
      <c r="C13" s="6" t="s">
        <v>21</v>
      </c>
      <c r="D13" s="6" t="n">
        <v>0.154</v>
      </c>
      <c r="E13" s="5"/>
      <c r="F13" s="5" t="s">
        <v>24</v>
      </c>
      <c r="G13" s="5"/>
    </row>
    <row r="14" customFormat="false" ht="26.85" hidden="false" customHeight="false" outlineLevel="0" collapsed="false">
      <c r="A14" s="5" t="s">
        <v>10</v>
      </c>
      <c r="B14" s="5" t="s">
        <v>26</v>
      </c>
      <c r="C14" s="6" t="s">
        <v>27</v>
      </c>
      <c r="D14" s="7" t="n">
        <v>0.802</v>
      </c>
      <c r="E14" s="5" t="s">
        <v>28</v>
      </c>
      <c r="F14" s="5" t="s">
        <v>29</v>
      </c>
      <c r="G14" s="5" t="s">
        <v>30</v>
      </c>
    </row>
    <row r="15" customFormat="false" ht="26.85" hidden="false" customHeight="false" outlineLevel="0" collapsed="false">
      <c r="A15" s="5" t="s">
        <v>10</v>
      </c>
      <c r="B15" s="5" t="s">
        <v>31</v>
      </c>
      <c r="C15" s="6" t="s">
        <v>19</v>
      </c>
      <c r="D15" s="6" t="n">
        <v>0.914</v>
      </c>
      <c r="E15" s="5" t="s">
        <v>32</v>
      </c>
      <c r="F15" s="5" t="s">
        <v>33</v>
      </c>
      <c r="G15" s="5" t="s">
        <v>34</v>
      </c>
    </row>
    <row r="16" customFormat="false" ht="26.85" hidden="false" customHeight="false" outlineLevel="0" collapsed="false">
      <c r="A16" s="5" t="s">
        <v>10</v>
      </c>
      <c r="B16" s="5" t="s">
        <v>35</v>
      </c>
      <c r="C16" s="6" t="s">
        <v>27</v>
      </c>
      <c r="D16" s="8" t="s">
        <v>36</v>
      </c>
      <c r="E16" s="5" t="s">
        <v>37</v>
      </c>
      <c r="F16" s="5" t="s">
        <v>38</v>
      </c>
      <c r="G16" s="5" t="s">
        <v>39</v>
      </c>
    </row>
    <row r="17" customFormat="false" ht="15" hidden="false" customHeight="false" outlineLevel="0" collapsed="false">
      <c r="A17" s="4" t="s">
        <v>40</v>
      </c>
      <c r="B17" s="4"/>
      <c r="C17" s="4"/>
      <c r="D17" s="4"/>
      <c r="E17" s="4"/>
      <c r="F17" s="4"/>
      <c r="G17" s="4"/>
    </row>
    <row r="18" customFormat="false" ht="26.85" hidden="false" customHeight="false" outlineLevel="0" collapsed="false">
      <c r="A18" s="5" t="s">
        <v>41</v>
      </c>
      <c r="B18" s="5" t="s">
        <v>42</v>
      </c>
      <c r="C18" s="6" t="s">
        <v>27</v>
      </c>
      <c r="D18" s="7" t="n">
        <v>1</v>
      </c>
      <c r="E18" s="5" t="s">
        <v>43</v>
      </c>
      <c r="F18" s="5" t="s">
        <v>44</v>
      </c>
      <c r="G18" s="5" t="s">
        <v>45</v>
      </c>
    </row>
    <row r="19" customFormat="false" ht="26.85" hidden="false" customHeight="false" outlineLevel="0" collapsed="false">
      <c r="A19" s="5" t="s">
        <v>41</v>
      </c>
      <c r="B19" s="5" t="s">
        <v>46</v>
      </c>
      <c r="C19" s="6" t="s">
        <v>27</v>
      </c>
      <c r="D19" s="6" t="n">
        <v>0.741</v>
      </c>
      <c r="E19" s="5" t="s">
        <v>43</v>
      </c>
      <c r="F19" s="5" t="s">
        <v>44</v>
      </c>
      <c r="G19" s="5" t="s">
        <v>47</v>
      </c>
    </row>
    <row r="20" customFormat="false" ht="26.85" hidden="false" customHeight="false" outlineLevel="0" collapsed="false">
      <c r="A20" s="5" t="s">
        <v>41</v>
      </c>
      <c r="B20" s="5" t="s">
        <v>48</v>
      </c>
      <c r="C20" s="6" t="s">
        <v>27</v>
      </c>
      <c r="D20" s="6" t="n">
        <v>0.796</v>
      </c>
      <c r="E20" s="5" t="s">
        <v>43</v>
      </c>
      <c r="F20" s="5" t="s">
        <v>49</v>
      </c>
      <c r="G20" s="5" t="s">
        <v>50</v>
      </c>
    </row>
    <row r="21" customFormat="false" ht="26.85" hidden="false" customHeight="false" outlineLevel="0" collapsed="false">
      <c r="A21" s="5" t="s">
        <v>41</v>
      </c>
      <c r="B21" s="5" t="s">
        <v>51</v>
      </c>
      <c r="C21" s="6" t="s">
        <v>27</v>
      </c>
      <c r="D21" s="7" t="n">
        <v>0</v>
      </c>
      <c r="E21" s="5" t="s">
        <v>52</v>
      </c>
      <c r="F21" s="5" t="s">
        <v>53</v>
      </c>
      <c r="G21" s="5" t="s">
        <v>54</v>
      </c>
    </row>
    <row r="22" customFormat="false" ht="15" hidden="false" customHeight="false" outlineLevel="0" collapsed="false">
      <c r="A22" s="5" t="s">
        <v>41</v>
      </c>
      <c r="B22" s="5" t="s">
        <v>55</v>
      </c>
      <c r="C22" s="6" t="s">
        <v>27</v>
      </c>
      <c r="D22" s="7" t="n">
        <v>0</v>
      </c>
      <c r="E22" s="5" t="s">
        <v>52</v>
      </c>
      <c r="F22" s="5" t="s">
        <v>56</v>
      </c>
      <c r="G22" s="5" t="s">
        <v>57</v>
      </c>
    </row>
    <row r="23" customFormat="false" ht="26.85" hidden="false" customHeight="false" outlineLevel="0" collapsed="false">
      <c r="A23" s="5" t="s">
        <v>41</v>
      </c>
      <c r="B23" s="5" t="s">
        <v>58</v>
      </c>
      <c r="C23" s="6" t="s">
        <v>27</v>
      </c>
      <c r="D23" s="9" t="s">
        <v>59</v>
      </c>
      <c r="E23" s="5" t="s">
        <v>60</v>
      </c>
      <c r="F23" s="5" t="s">
        <v>53</v>
      </c>
      <c r="G23" s="5" t="s">
        <v>61</v>
      </c>
    </row>
    <row r="24" customFormat="false" ht="15" hidden="false" customHeight="false" outlineLevel="0" collapsed="false">
      <c r="A24" s="5" t="s">
        <v>41</v>
      </c>
      <c r="B24" s="5" t="s">
        <v>62</v>
      </c>
      <c r="C24" s="6" t="s">
        <v>27</v>
      </c>
      <c r="D24" s="7" t="n">
        <v>4.98</v>
      </c>
      <c r="E24" s="5" t="s">
        <v>63</v>
      </c>
      <c r="F24" s="5" t="s">
        <v>44</v>
      </c>
      <c r="G24" s="5" t="s">
        <v>64</v>
      </c>
    </row>
    <row r="25" customFormat="false" ht="15" hidden="false" customHeight="false" outlineLevel="0" collapsed="false">
      <c r="A25" s="5" t="s">
        <v>41</v>
      </c>
      <c r="B25" s="5" t="s">
        <v>65</v>
      </c>
      <c r="C25" s="6" t="s">
        <v>27</v>
      </c>
      <c r="D25" s="6" t="n">
        <v>4.98</v>
      </c>
      <c r="E25" s="5" t="s">
        <v>63</v>
      </c>
      <c r="F25" s="5" t="s">
        <v>49</v>
      </c>
      <c r="G25" s="5"/>
    </row>
    <row r="26" customFormat="false" ht="26.85" hidden="false" customHeight="false" outlineLevel="0" collapsed="false">
      <c r="A26" s="5" t="s">
        <v>41</v>
      </c>
      <c r="B26" s="5" t="s">
        <v>66</v>
      </c>
      <c r="C26" s="6" t="s">
        <v>27</v>
      </c>
      <c r="D26" s="7" t="n">
        <v>4.98</v>
      </c>
      <c r="E26" s="5" t="s">
        <v>63</v>
      </c>
      <c r="F26" s="5" t="s">
        <v>67</v>
      </c>
      <c r="G26" s="5" t="s">
        <v>68</v>
      </c>
    </row>
    <row r="27" customFormat="false" ht="15" hidden="false" customHeight="false" outlineLevel="0" collapsed="false">
      <c r="A27" s="5" t="s">
        <v>41</v>
      </c>
      <c r="B27" s="5" t="s">
        <v>69</v>
      </c>
      <c r="C27" s="6" t="s">
        <v>27</v>
      </c>
      <c r="D27" s="7" t="n">
        <v>5</v>
      </c>
      <c r="E27" s="5" t="s">
        <v>63</v>
      </c>
      <c r="F27" s="5" t="s">
        <v>70</v>
      </c>
      <c r="G27" s="5" t="s">
        <v>71</v>
      </c>
    </row>
    <row r="28" customFormat="false" ht="39.55" hidden="false" customHeight="false" outlineLevel="0" collapsed="false">
      <c r="A28" s="5" t="s">
        <v>41</v>
      </c>
      <c r="B28" s="5" t="s">
        <v>72</v>
      </c>
      <c r="C28" s="6" t="s">
        <v>27</v>
      </c>
      <c r="D28" s="7" t="n">
        <v>1</v>
      </c>
      <c r="E28" s="5" t="s">
        <v>43</v>
      </c>
      <c r="F28" s="5" t="s">
        <v>70</v>
      </c>
      <c r="G28" s="5" t="s">
        <v>73</v>
      </c>
    </row>
    <row r="29" customFormat="false" ht="26.85" hidden="false" customHeight="false" outlineLevel="0" collapsed="false">
      <c r="A29" s="5" t="s">
        <v>41</v>
      </c>
      <c r="B29" s="5" t="s">
        <v>74</v>
      </c>
      <c r="C29" s="6" t="s">
        <v>27</v>
      </c>
      <c r="D29" s="10" t="s">
        <v>75</v>
      </c>
      <c r="E29" s="5" t="s">
        <v>76</v>
      </c>
      <c r="F29" s="5" t="s">
        <v>77</v>
      </c>
      <c r="G29" s="5" t="s">
        <v>78</v>
      </c>
    </row>
    <row r="30" customFormat="false" ht="26.85" hidden="false" customHeight="false" outlineLevel="0" collapsed="false">
      <c r="A30" s="5" t="s">
        <v>41</v>
      </c>
      <c r="B30" s="5" t="s">
        <v>79</v>
      </c>
      <c r="C30" s="6" t="s">
        <v>27</v>
      </c>
      <c r="D30" s="7" t="n">
        <v>1</v>
      </c>
      <c r="E30" s="5" t="s">
        <v>43</v>
      </c>
      <c r="F30" s="5" t="s">
        <v>70</v>
      </c>
      <c r="G30" s="5" t="s">
        <v>80</v>
      </c>
    </row>
    <row r="31" customFormat="false" ht="26.85" hidden="false" customHeight="false" outlineLevel="0" collapsed="false">
      <c r="A31" s="5" t="s">
        <v>41</v>
      </c>
      <c r="B31" s="5" t="s">
        <v>81</v>
      </c>
      <c r="C31" s="6" t="s">
        <v>27</v>
      </c>
      <c r="D31" s="7" t="n">
        <v>0.11</v>
      </c>
      <c r="E31" s="5" t="s">
        <v>52</v>
      </c>
      <c r="F31" s="5" t="s">
        <v>70</v>
      </c>
      <c r="G31" s="5" t="s">
        <v>82</v>
      </c>
    </row>
    <row r="32" customFormat="false" ht="15" hidden="false" customHeight="false" outlineLevel="0" collapsed="false">
      <c r="A32" s="4" t="s">
        <v>83</v>
      </c>
      <c r="B32" s="4"/>
      <c r="C32" s="4"/>
      <c r="D32" s="4"/>
      <c r="E32" s="4"/>
      <c r="F32" s="4"/>
      <c r="G32" s="4"/>
    </row>
    <row r="33" customFormat="false" ht="39.55" hidden="false" customHeight="false" outlineLevel="0" collapsed="false">
      <c r="A33" s="5" t="s">
        <v>84</v>
      </c>
      <c r="B33" s="5" t="s">
        <v>85</v>
      </c>
      <c r="C33" s="6" t="s">
        <v>27</v>
      </c>
      <c r="D33" s="10" t="s">
        <v>86</v>
      </c>
      <c r="E33" s="5" t="s">
        <v>87</v>
      </c>
      <c r="F33" s="5" t="s">
        <v>88</v>
      </c>
      <c r="G33" s="5" t="s">
        <v>89</v>
      </c>
    </row>
    <row r="34" customFormat="false" ht="15" hidden="false" customHeight="false" outlineLevel="0" collapsed="false">
      <c r="A34" s="5" t="s">
        <v>84</v>
      </c>
      <c r="B34" s="5" t="s">
        <v>90</v>
      </c>
      <c r="C34" s="6" t="s">
        <v>27</v>
      </c>
      <c r="D34" s="10" t="s">
        <v>86</v>
      </c>
      <c r="E34" s="5" t="s">
        <v>87</v>
      </c>
      <c r="F34" s="5" t="s">
        <v>91</v>
      </c>
      <c r="G34" s="5" t="s">
        <v>92</v>
      </c>
    </row>
  </sheetData>
  <mergeCells count="3">
    <mergeCell ref="A5:G5"/>
    <mergeCell ref="A17:G17"/>
    <mergeCell ref="A32:G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6"/>
    <col collapsed="false" customWidth="true" hidden="false" outlineLevel="0" max="3" min="3" style="0" width="7"/>
    <col collapsed="false" customWidth="true" hidden="false" outlineLevel="0" max="5" min="4" style="0" width="6"/>
    <col collapsed="false" customWidth="true" hidden="false" outlineLevel="0" max="6" min="6" style="0" width="20"/>
    <col collapsed="false" customWidth="true" hidden="false" outlineLevel="0" max="7" min="7" style="0" width="40"/>
    <col collapsed="false" customWidth="true" hidden="false" outlineLevel="0" max="8" min="8" style="0" width="9"/>
    <col collapsed="false" customWidth="true" hidden="false" outlineLevel="0" max="9" min="9" style="0" width="7"/>
    <col collapsed="false" customWidth="true" hidden="false" outlineLevel="0" max="13" min="10" style="0" width="9"/>
    <col collapsed="false" customWidth="true" hidden="false" outlineLevel="0" max="14" min="14" style="0" width="10"/>
  </cols>
  <sheetData>
    <row r="1" customFormat="false" ht="15" hidden="false" customHeight="false" outlineLevel="0" collapsed="false">
      <c r="A1" s="11" t="s">
        <v>93</v>
      </c>
      <c r="B1" s="11" t="s">
        <v>94</v>
      </c>
      <c r="C1" s="11" t="s">
        <v>95</v>
      </c>
      <c r="D1" s="11" t="s">
        <v>96</v>
      </c>
      <c r="E1" s="11" t="s">
        <v>97</v>
      </c>
      <c r="F1" s="11" t="s">
        <v>98</v>
      </c>
      <c r="G1" s="11" t="s">
        <v>99</v>
      </c>
      <c r="H1" s="11" t="s">
        <v>100</v>
      </c>
      <c r="I1" s="11" t="s">
        <v>101</v>
      </c>
      <c r="J1" s="11" t="s">
        <v>102</v>
      </c>
      <c r="K1" s="11" t="s">
        <v>103</v>
      </c>
      <c r="L1" s="11" t="s">
        <v>104</v>
      </c>
      <c r="M1" s="11" t="s">
        <v>105</v>
      </c>
      <c r="N1" s="11" t="s">
        <v>106</v>
      </c>
    </row>
    <row r="2" customFormat="false" ht="15" hidden="false" customHeight="false" outlineLevel="0" collapsed="false">
      <c r="A2" s="6" t="s">
        <v>107</v>
      </c>
      <c r="B2" s="6" t="s">
        <v>108</v>
      </c>
      <c r="C2" s="6" t="s">
        <v>109</v>
      </c>
      <c r="D2" s="6" t="s">
        <v>110</v>
      </c>
      <c r="E2" s="6" t="n">
        <v>2</v>
      </c>
      <c r="F2" s="5" t="s">
        <v>111</v>
      </c>
      <c r="G2" s="5" t="s">
        <v>112</v>
      </c>
      <c r="H2" s="6" t="n">
        <v>1</v>
      </c>
      <c r="I2" s="6" t="n">
        <v>1</v>
      </c>
      <c r="J2" s="6" t="n">
        <v>0.5</v>
      </c>
      <c r="K2" s="6" t="n">
        <v>1</v>
      </c>
      <c r="L2" s="6" t="n">
        <v>1</v>
      </c>
      <c r="M2" s="6" t="n">
        <v>1</v>
      </c>
      <c r="N2" s="6" t="n">
        <v>0.4</v>
      </c>
    </row>
    <row r="3" customFormat="false" ht="26.85" hidden="false" customHeight="false" outlineLevel="0" collapsed="false">
      <c r="A3" s="6" t="s">
        <v>113</v>
      </c>
      <c r="B3" s="6" t="s">
        <v>108</v>
      </c>
      <c r="C3" s="6" t="s">
        <v>114</v>
      </c>
      <c r="D3" s="6" t="s">
        <v>110</v>
      </c>
      <c r="E3" s="6" t="n">
        <v>2</v>
      </c>
      <c r="F3" s="5" t="s">
        <v>115</v>
      </c>
      <c r="G3" s="5" t="s">
        <v>116</v>
      </c>
      <c r="H3" s="6" t="n">
        <v>2</v>
      </c>
      <c r="I3" s="6" t="n">
        <v>0.5</v>
      </c>
      <c r="J3" s="6" t="n">
        <v>0</v>
      </c>
      <c r="K3" s="6" t="n">
        <v>0.5</v>
      </c>
      <c r="L3" s="6" t="n">
        <v>1</v>
      </c>
      <c r="M3" s="6" t="n">
        <v>1</v>
      </c>
      <c r="N3" s="6" t="n">
        <v>0.4</v>
      </c>
    </row>
    <row r="4" customFormat="false" ht="26.85" hidden="false" customHeight="false" outlineLevel="0" collapsed="false">
      <c r="A4" s="6" t="s">
        <v>117</v>
      </c>
      <c r="B4" s="6" t="s">
        <v>108</v>
      </c>
      <c r="C4" s="6" t="s">
        <v>118</v>
      </c>
      <c r="D4" s="6" t="s">
        <v>110</v>
      </c>
      <c r="E4" s="6" t="n">
        <v>1</v>
      </c>
      <c r="F4" s="5" t="s">
        <v>119</v>
      </c>
      <c r="G4" s="5" t="s">
        <v>120</v>
      </c>
      <c r="H4" s="6" t="n">
        <v>1</v>
      </c>
      <c r="I4" s="6" t="n">
        <v>1</v>
      </c>
      <c r="J4" s="6" t="n">
        <v>1</v>
      </c>
      <c r="K4" s="6" t="n">
        <v>1</v>
      </c>
      <c r="L4" s="6" t="n">
        <v>1</v>
      </c>
      <c r="M4" s="6" t="n">
        <v>1</v>
      </c>
      <c r="N4" s="6" t="n">
        <v>0.2</v>
      </c>
    </row>
    <row r="5" customFormat="false" ht="26.85" hidden="false" customHeight="false" outlineLevel="0" collapsed="false">
      <c r="A5" s="6" t="s">
        <v>121</v>
      </c>
      <c r="B5" s="6" t="s">
        <v>108</v>
      </c>
      <c r="C5" s="6" t="s">
        <v>122</v>
      </c>
      <c r="D5" s="6" t="s">
        <v>110</v>
      </c>
      <c r="E5" s="6" t="n">
        <v>3</v>
      </c>
      <c r="F5" s="5" t="s">
        <v>123</v>
      </c>
      <c r="G5" s="5" t="s">
        <v>124</v>
      </c>
      <c r="H5" s="12" t="s">
        <v>125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0</v>
      </c>
    </row>
    <row r="6" customFormat="false" ht="26.85" hidden="false" customHeight="false" outlineLevel="0" collapsed="false">
      <c r="A6" s="6" t="s">
        <v>126</v>
      </c>
      <c r="B6" s="6" t="s">
        <v>108</v>
      </c>
      <c r="C6" s="6" t="s">
        <v>114</v>
      </c>
      <c r="D6" s="6" t="s">
        <v>110</v>
      </c>
      <c r="E6" s="6" t="n">
        <v>2</v>
      </c>
      <c r="F6" s="5" t="s">
        <v>127</v>
      </c>
      <c r="G6" s="5" t="s">
        <v>128</v>
      </c>
      <c r="H6" s="6" t="n">
        <v>1</v>
      </c>
      <c r="I6" s="6" t="n">
        <v>1</v>
      </c>
      <c r="J6" s="6" t="n">
        <v>0.5</v>
      </c>
      <c r="K6" s="6" t="n">
        <v>0.5</v>
      </c>
      <c r="L6" s="6" t="n">
        <v>0.5</v>
      </c>
      <c r="M6" s="6" t="n">
        <v>0.5</v>
      </c>
      <c r="N6" s="6" t="n">
        <v>0.2</v>
      </c>
    </row>
    <row r="7" customFormat="false" ht="26.85" hidden="false" customHeight="false" outlineLevel="0" collapsed="false">
      <c r="A7" s="6" t="s">
        <v>129</v>
      </c>
      <c r="B7" s="6" t="s">
        <v>108</v>
      </c>
      <c r="C7" s="6" t="s">
        <v>109</v>
      </c>
      <c r="D7" s="6" t="s">
        <v>110</v>
      </c>
      <c r="E7" s="6" t="n">
        <v>3</v>
      </c>
      <c r="F7" s="5" t="s">
        <v>130</v>
      </c>
      <c r="G7" s="5" t="s">
        <v>131</v>
      </c>
      <c r="H7" s="6" t="n">
        <v>1</v>
      </c>
      <c r="I7" s="6" t="n">
        <v>1</v>
      </c>
      <c r="J7" s="6" t="n">
        <v>0.333</v>
      </c>
      <c r="K7" s="6" t="n">
        <v>1</v>
      </c>
      <c r="L7" s="6" t="n">
        <v>1</v>
      </c>
      <c r="M7" s="6" t="n">
        <v>1</v>
      </c>
      <c r="N7" s="6" t="n">
        <v>0.6</v>
      </c>
    </row>
    <row r="8" customFormat="false" ht="26.85" hidden="false" customHeight="false" outlineLevel="0" collapsed="false">
      <c r="A8" s="6" t="s">
        <v>132</v>
      </c>
      <c r="B8" s="6" t="s">
        <v>133</v>
      </c>
      <c r="C8" s="6" t="s">
        <v>114</v>
      </c>
      <c r="D8" s="6" t="s">
        <v>110</v>
      </c>
      <c r="E8" s="6" t="n">
        <v>2</v>
      </c>
      <c r="F8" s="5" t="s">
        <v>134</v>
      </c>
      <c r="G8" s="5" t="s">
        <v>135</v>
      </c>
      <c r="H8" s="6" t="n">
        <v>1</v>
      </c>
      <c r="I8" s="6" t="n">
        <v>1</v>
      </c>
      <c r="J8" s="6" t="n">
        <v>0.5</v>
      </c>
      <c r="K8" s="6" t="n">
        <v>1</v>
      </c>
      <c r="L8" s="6" t="n">
        <v>1</v>
      </c>
      <c r="M8" s="6" t="n">
        <v>1</v>
      </c>
      <c r="N8" s="6" t="n">
        <v>0.4</v>
      </c>
    </row>
    <row r="9" customFormat="false" ht="26.85" hidden="false" customHeight="false" outlineLevel="0" collapsed="false">
      <c r="A9" s="6" t="s">
        <v>136</v>
      </c>
      <c r="B9" s="6" t="s">
        <v>133</v>
      </c>
      <c r="C9" s="6" t="s">
        <v>114</v>
      </c>
      <c r="D9" s="6" t="s">
        <v>110</v>
      </c>
      <c r="E9" s="6" t="n">
        <v>2</v>
      </c>
      <c r="F9" s="5" t="s">
        <v>137</v>
      </c>
      <c r="G9" s="5" t="s">
        <v>138</v>
      </c>
      <c r="H9" s="6" t="n">
        <v>1</v>
      </c>
      <c r="I9" s="6" t="n">
        <v>1</v>
      </c>
      <c r="J9" s="6" t="n">
        <v>0.5</v>
      </c>
      <c r="K9" s="6" t="n">
        <v>1</v>
      </c>
      <c r="L9" s="6" t="n">
        <v>1</v>
      </c>
      <c r="M9" s="6" t="n">
        <v>1</v>
      </c>
      <c r="N9" s="6" t="n">
        <v>0.4</v>
      </c>
    </row>
    <row r="10" customFormat="false" ht="26.85" hidden="false" customHeight="false" outlineLevel="0" collapsed="false">
      <c r="A10" s="6" t="s">
        <v>139</v>
      </c>
      <c r="B10" s="6" t="s">
        <v>133</v>
      </c>
      <c r="C10" s="6" t="s">
        <v>114</v>
      </c>
      <c r="D10" s="6" t="s">
        <v>110</v>
      </c>
      <c r="E10" s="6" t="n">
        <v>3</v>
      </c>
      <c r="F10" s="5" t="s">
        <v>140</v>
      </c>
      <c r="G10" s="5" t="s">
        <v>141</v>
      </c>
      <c r="H10" s="12" t="s">
        <v>125</v>
      </c>
      <c r="I10" s="6" t="n">
        <v>0</v>
      </c>
      <c r="J10" s="6" t="n">
        <v>0</v>
      </c>
      <c r="K10" s="6" t="n">
        <v>0</v>
      </c>
      <c r="L10" s="6" t="n">
        <v>0</v>
      </c>
      <c r="M10" s="6" t="n">
        <v>0</v>
      </c>
      <c r="N10" s="6" t="n">
        <v>0</v>
      </c>
    </row>
    <row r="11" customFormat="false" ht="15" hidden="false" customHeight="false" outlineLevel="0" collapsed="false">
      <c r="A11" s="6" t="s">
        <v>142</v>
      </c>
      <c r="B11" s="6" t="s">
        <v>133</v>
      </c>
      <c r="C11" s="6" t="s">
        <v>109</v>
      </c>
      <c r="D11" s="6" t="s">
        <v>110</v>
      </c>
      <c r="E11" s="6" t="n">
        <v>2</v>
      </c>
      <c r="F11" s="5" t="s">
        <v>143</v>
      </c>
      <c r="G11" s="5" t="s">
        <v>144</v>
      </c>
      <c r="H11" s="6" t="n">
        <v>2</v>
      </c>
      <c r="I11" s="6" t="n">
        <v>0.5</v>
      </c>
      <c r="J11" s="6" t="n">
        <v>0</v>
      </c>
      <c r="K11" s="6" t="n">
        <v>0.5</v>
      </c>
      <c r="L11" s="6" t="n">
        <v>1</v>
      </c>
      <c r="M11" s="6" t="n">
        <v>1</v>
      </c>
      <c r="N11" s="6" t="n">
        <v>0.4</v>
      </c>
    </row>
    <row r="12" customFormat="false" ht="26.85" hidden="false" customHeight="false" outlineLevel="0" collapsed="false">
      <c r="A12" s="6" t="s">
        <v>145</v>
      </c>
      <c r="B12" s="6" t="s">
        <v>133</v>
      </c>
      <c r="C12" s="6" t="s">
        <v>122</v>
      </c>
      <c r="D12" s="6" t="s">
        <v>110</v>
      </c>
      <c r="E12" s="6" t="n">
        <v>2</v>
      </c>
      <c r="F12" s="5" t="s">
        <v>146</v>
      </c>
      <c r="G12" s="5" t="s">
        <v>147</v>
      </c>
      <c r="H12" s="6" t="n">
        <v>1</v>
      </c>
      <c r="I12" s="6" t="n">
        <v>1</v>
      </c>
      <c r="J12" s="6" t="n">
        <v>0.5</v>
      </c>
      <c r="K12" s="6" t="n">
        <v>1</v>
      </c>
      <c r="L12" s="6" t="n">
        <v>1</v>
      </c>
      <c r="M12" s="6" t="n">
        <v>1</v>
      </c>
      <c r="N12" s="6" t="n">
        <v>0.4</v>
      </c>
    </row>
    <row r="13" customFormat="false" ht="26.85" hidden="false" customHeight="false" outlineLevel="0" collapsed="false">
      <c r="A13" s="6" t="s">
        <v>148</v>
      </c>
      <c r="B13" s="6" t="s">
        <v>133</v>
      </c>
      <c r="C13" s="6" t="s">
        <v>149</v>
      </c>
      <c r="D13" s="6" t="s">
        <v>110</v>
      </c>
      <c r="E13" s="6" t="n">
        <v>2</v>
      </c>
      <c r="F13" s="5" t="s">
        <v>150</v>
      </c>
      <c r="G13" s="5" t="s">
        <v>151</v>
      </c>
      <c r="H13" s="6" t="n">
        <v>1</v>
      </c>
      <c r="I13" s="6" t="n">
        <v>1</v>
      </c>
      <c r="J13" s="6" t="n">
        <v>0.5</v>
      </c>
      <c r="K13" s="6" t="n">
        <v>1</v>
      </c>
      <c r="L13" s="6" t="n">
        <v>1</v>
      </c>
      <c r="M13" s="6" t="n">
        <v>1</v>
      </c>
      <c r="N13" s="6" t="n">
        <v>0.4</v>
      </c>
    </row>
    <row r="14" customFormat="false" ht="26.85" hidden="false" customHeight="false" outlineLevel="0" collapsed="false">
      <c r="A14" s="6" t="s">
        <v>152</v>
      </c>
      <c r="B14" s="6" t="s">
        <v>153</v>
      </c>
      <c r="C14" s="6" t="s">
        <v>122</v>
      </c>
      <c r="D14" s="6" t="s">
        <v>110</v>
      </c>
      <c r="E14" s="6" t="n">
        <v>1</v>
      </c>
      <c r="F14" s="5" t="s">
        <v>154</v>
      </c>
      <c r="G14" s="5" t="s">
        <v>155</v>
      </c>
      <c r="H14" s="6" t="n">
        <v>1</v>
      </c>
      <c r="I14" s="6" t="n">
        <v>1</v>
      </c>
      <c r="J14" s="6" t="n">
        <v>1</v>
      </c>
      <c r="K14" s="6" t="n">
        <v>1</v>
      </c>
      <c r="L14" s="6" t="n">
        <v>1</v>
      </c>
      <c r="M14" s="6" t="n">
        <v>1</v>
      </c>
      <c r="N14" s="6" t="n">
        <v>0.2</v>
      </c>
    </row>
    <row r="15" customFormat="false" ht="26.85" hidden="false" customHeight="false" outlineLevel="0" collapsed="false">
      <c r="A15" s="6" t="s">
        <v>156</v>
      </c>
      <c r="B15" s="6" t="s">
        <v>153</v>
      </c>
      <c r="C15" s="6" t="s">
        <v>122</v>
      </c>
      <c r="D15" s="6" t="s">
        <v>110</v>
      </c>
      <c r="E15" s="6" t="n">
        <v>3</v>
      </c>
      <c r="F15" s="5" t="s">
        <v>157</v>
      </c>
      <c r="G15" s="5" t="s">
        <v>158</v>
      </c>
      <c r="H15" s="6" t="n">
        <v>1</v>
      </c>
      <c r="I15" s="6" t="n">
        <v>1</v>
      </c>
      <c r="J15" s="6" t="n">
        <v>0.333</v>
      </c>
      <c r="K15" s="6" t="n">
        <v>0.333</v>
      </c>
      <c r="L15" s="6" t="n">
        <v>0.667</v>
      </c>
      <c r="M15" s="6" t="n">
        <v>0.667</v>
      </c>
      <c r="N15" s="6" t="n">
        <v>0.4</v>
      </c>
    </row>
    <row r="16" customFormat="false" ht="26.85" hidden="false" customHeight="false" outlineLevel="0" collapsed="false">
      <c r="A16" s="6" t="s">
        <v>159</v>
      </c>
      <c r="B16" s="6" t="s">
        <v>153</v>
      </c>
      <c r="C16" s="6" t="s">
        <v>114</v>
      </c>
      <c r="D16" s="6" t="s">
        <v>110</v>
      </c>
      <c r="E16" s="6" t="n">
        <v>1</v>
      </c>
      <c r="F16" s="5" t="s">
        <v>154</v>
      </c>
      <c r="G16" s="5" t="s">
        <v>160</v>
      </c>
      <c r="H16" s="6" t="n">
        <v>1</v>
      </c>
      <c r="I16" s="6" t="n">
        <v>1</v>
      </c>
      <c r="J16" s="6" t="n">
        <v>1</v>
      </c>
      <c r="K16" s="6" t="n">
        <v>1</v>
      </c>
      <c r="L16" s="6" t="n">
        <v>1</v>
      </c>
      <c r="M16" s="6" t="n">
        <v>1</v>
      </c>
      <c r="N16" s="6" t="n">
        <v>0.2</v>
      </c>
    </row>
    <row r="17" customFormat="false" ht="15" hidden="false" customHeight="false" outlineLevel="0" collapsed="false">
      <c r="A17" s="6" t="s">
        <v>161</v>
      </c>
      <c r="B17" s="6" t="s">
        <v>153</v>
      </c>
      <c r="C17" s="6" t="s">
        <v>122</v>
      </c>
      <c r="D17" s="6" t="s">
        <v>110</v>
      </c>
      <c r="E17" s="6" t="n">
        <v>1</v>
      </c>
      <c r="F17" s="5" t="s">
        <v>162</v>
      </c>
      <c r="G17" s="5" t="s">
        <v>163</v>
      </c>
      <c r="H17" s="6" t="n">
        <v>1</v>
      </c>
      <c r="I17" s="6" t="n">
        <v>1</v>
      </c>
      <c r="J17" s="6" t="n">
        <v>1</v>
      </c>
      <c r="K17" s="6" t="n">
        <v>1</v>
      </c>
      <c r="L17" s="6" t="n">
        <v>1</v>
      </c>
      <c r="M17" s="6" t="n">
        <v>1</v>
      </c>
      <c r="N17" s="6" t="n">
        <v>0.2</v>
      </c>
    </row>
    <row r="18" customFormat="false" ht="26.85" hidden="false" customHeight="false" outlineLevel="0" collapsed="false">
      <c r="A18" s="6" t="s">
        <v>164</v>
      </c>
      <c r="B18" s="6" t="s">
        <v>153</v>
      </c>
      <c r="C18" s="6" t="s">
        <v>122</v>
      </c>
      <c r="D18" s="6" t="s">
        <v>110</v>
      </c>
      <c r="E18" s="6" t="n">
        <v>2</v>
      </c>
      <c r="F18" s="5" t="s">
        <v>165</v>
      </c>
      <c r="G18" s="5" t="s">
        <v>166</v>
      </c>
      <c r="H18" s="6" t="n">
        <v>2</v>
      </c>
      <c r="I18" s="6" t="n">
        <v>0.5</v>
      </c>
      <c r="J18" s="6" t="n">
        <v>0</v>
      </c>
      <c r="K18" s="6" t="n">
        <v>1</v>
      </c>
      <c r="L18" s="6" t="n">
        <v>1</v>
      </c>
      <c r="M18" s="6" t="n">
        <v>1</v>
      </c>
      <c r="N18" s="6" t="n">
        <v>0.4</v>
      </c>
    </row>
    <row r="19" customFormat="false" ht="26.85" hidden="false" customHeight="false" outlineLevel="0" collapsed="false">
      <c r="A19" s="6" t="s">
        <v>167</v>
      </c>
      <c r="B19" s="6" t="s">
        <v>153</v>
      </c>
      <c r="C19" s="6" t="s">
        <v>122</v>
      </c>
      <c r="D19" s="6" t="s">
        <v>110</v>
      </c>
      <c r="E19" s="6" t="n">
        <v>2</v>
      </c>
      <c r="F19" s="5" t="s">
        <v>168</v>
      </c>
      <c r="G19" s="5" t="s">
        <v>169</v>
      </c>
      <c r="H19" s="6" t="n">
        <v>2</v>
      </c>
      <c r="I19" s="6" t="n">
        <v>0.5</v>
      </c>
      <c r="J19" s="6" t="n">
        <v>0</v>
      </c>
      <c r="K19" s="6" t="n">
        <v>0.5</v>
      </c>
      <c r="L19" s="6" t="n">
        <v>1</v>
      </c>
      <c r="M19" s="6" t="n">
        <v>1</v>
      </c>
      <c r="N19" s="6" t="n">
        <v>0.4</v>
      </c>
    </row>
    <row r="20" customFormat="false" ht="26.85" hidden="false" customHeight="false" outlineLevel="0" collapsed="false">
      <c r="A20" s="6" t="s">
        <v>170</v>
      </c>
      <c r="B20" s="6" t="s">
        <v>171</v>
      </c>
      <c r="C20" s="6" t="s">
        <v>109</v>
      </c>
      <c r="D20" s="6" t="s">
        <v>110</v>
      </c>
      <c r="E20" s="6" t="n">
        <v>1</v>
      </c>
      <c r="F20" s="5" t="s">
        <v>172</v>
      </c>
      <c r="G20" s="5" t="s">
        <v>173</v>
      </c>
      <c r="H20" s="6" t="n">
        <v>1</v>
      </c>
      <c r="I20" s="6" t="n">
        <v>1</v>
      </c>
      <c r="J20" s="6" t="n">
        <v>1</v>
      </c>
      <c r="K20" s="6" t="n">
        <v>1</v>
      </c>
      <c r="L20" s="6" t="n">
        <v>1</v>
      </c>
      <c r="M20" s="6" t="n">
        <v>1</v>
      </c>
      <c r="N20" s="6" t="n">
        <v>0.2</v>
      </c>
    </row>
    <row r="21" customFormat="false" ht="26.85" hidden="false" customHeight="false" outlineLevel="0" collapsed="false">
      <c r="A21" s="6" t="s">
        <v>174</v>
      </c>
      <c r="B21" s="6" t="s">
        <v>171</v>
      </c>
      <c r="C21" s="6" t="s">
        <v>109</v>
      </c>
      <c r="D21" s="6" t="s">
        <v>110</v>
      </c>
      <c r="E21" s="6" t="n">
        <v>3</v>
      </c>
      <c r="F21" s="5" t="s">
        <v>175</v>
      </c>
      <c r="G21" s="5" t="s">
        <v>176</v>
      </c>
      <c r="H21" s="6" t="n">
        <v>1</v>
      </c>
      <c r="I21" s="6" t="n">
        <v>1</v>
      </c>
      <c r="J21" s="6" t="n">
        <v>0.333</v>
      </c>
      <c r="K21" s="6" t="n">
        <v>0.667</v>
      </c>
      <c r="L21" s="6" t="n">
        <v>0.667</v>
      </c>
      <c r="M21" s="6" t="n">
        <v>0.667</v>
      </c>
      <c r="N21" s="6" t="n">
        <v>0.4</v>
      </c>
    </row>
    <row r="22" customFormat="false" ht="15" hidden="false" customHeight="false" outlineLevel="0" collapsed="false">
      <c r="A22" s="6" t="s">
        <v>177</v>
      </c>
      <c r="B22" s="6" t="s">
        <v>171</v>
      </c>
      <c r="C22" s="6" t="s">
        <v>178</v>
      </c>
      <c r="D22" s="6" t="s">
        <v>110</v>
      </c>
      <c r="E22" s="6" t="n">
        <v>2</v>
      </c>
      <c r="F22" s="5" t="s">
        <v>179</v>
      </c>
      <c r="G22" s="5" t="s">
        <v>180</v>
      </c>
      <c r="H22" s="6" t="n">
        <v>1</v>
      </c>
      <c r="I22" s="6" t="n">
        <v>1</v>
      </c>
      <c r="J22" s="6" t="n">
        <v>0.5</v>
      </c>
      <c r="K22" s="6" t="n">
        <v>0.5</v>
      </c>
      <c r="L22" s="6" t="n">
        <v>1</v>
      </c>
      <c r="M22" s="6" t="n">
        <v>1</v>
      </c>
      <c r="N22" s="6" t="n">
        <v>0.4</v>
      </c>
    </row>
    <row r="23" customFormat="false" ht="26.85" hidden="false" customHeight="false" outlineLevel="0" collapsed="false">
      <c r="A23" s="6" t="s">
        <v>181</v>
      </c>
      <c r="B23" s="6" t="s">
        <v>171</v>
      </c>
      <c r="C23" s="6" t="s">
        <v>114</v>
      </c>
      <c r="D23" s="6" t="s">
        <v>110</v>
      </c>
      <c r="E23" s="6" t="n">
        <v>3</v>
      </c>
      <c r="F23" s="5" t="s">
        <v>182</v>
      </c>
      <c r="G23" s="5" t="s">
        <v>183</v>
      </c>
      <c r="H23" s="6" t="n">
        <v>1</v>
      </c>
      <c r="I23" s="6" t="n">
        <v>1</v>
      </c>
      <c r="J23" s="6" t="n">
        <v>0.333</v>
      </c>
      <c r="K23" s="6" t="n">
        <v>1</v>
      </c>
      <c r="L23" s="6" t="n">
        <v>1</v>
      </c>
      <c r="M23" s="6" t="n">
        <v>1</v>
      </c>
      <c r="N23" s="6" t="n">
        <v>0.6</v>
      </c>
    </row>
    <row r="24" customFormat="false" ht="26.85" hidden="false" customHeight="false" outlineLevel="0" collapsed="false">
      <c r="A24" s="6" t="s">
        <v>184</v>
      </c>
      <c r="B24" s="6" t="s">
        <v>171</v>
      </c>
      <c r="C24" s="6" t="s">
        <v>109</v>
      </c>
      <c r="D24" s="6" t="s">
        <v>110</v>
      </c>
      <c r="E24" s="6" t="n">
        <v>2</v>
      </c>
      <c r="F24" s="5" t="s">
        <v>185</v>
      </c>
      <c r="G24" s="5" t="s">
        <v>186</v>
      </c>
      <c r="H24" s="6" t="n">
        <v>2</v>
      </c>
      <c r="I24" s="6" t="n">
        <v>0.5</v>
      </c>
      <c r="J24" s="6" t="n">
        <v>0</v>
      </c>
      <c r="K24" s="6" t="n">
        <v>0.5</v>
      </c>
      <c r="L24" s="6" t="n">
        <v>0.5</v>
      </c>
      <c r="M24" s="6" t="n">
        <v>0.5</v>
      </c>
      <c r="N24" s="6" t="n">
        <v>0.2</v>
      </c>
    </row>
    <row r="25" customFormat="false" ht="26.85" hidden="false" customHeight="false" outlineLevel="0" collapsed="false">
      <c r="A25" s="6" t="s">
        <v>187</v>
      </c>
      <c r="B25" s="6" t="s">
        <v>171</v>
      </c>
      <c r="C25" s="6" t="s">
        <v>122</v>
      </c>
      <c r="D25" s="6" t="s">
        <v>110</v>
      </c>
      <c r="E25" s="6" t="n">
        <v>3</v>
      </c>
      <c r="F25" s="5" t="s">
        <v>188</v>
      </c>
      <c r="G25" s="5" t="s">
        <v>189</v>
      </c>
      <c r="H25" s="6" t="n">
        <v>1</v>
      </c>
      <c r="I25" s="6" t="n">
        <v>1</v>
      </c>
      <c r="J25" s="6" t="n">
        <v>0.333</v>
      </c>
      <c r="K25" s="6" t="n">
        <v>0.667</v>
      </c>
      <c r="L25" s="6" t="n">
        <v>0.667</v>
      </c>
      <c r="M25" s="6" t="n">
        <v>0.667</v>
      </c>
      <c r="N25" s="6" t="n">
        <v>0.4</v>
      </c>
    </row>
    <row r="26" customFormat="false" ht="15" hidden="false" customHeight="false" outlineLevel="0" collapsed="false">
      <c r="A26" s="6" t="s">
        <v>190</v>
      </c>
      <c r="B26" s="6" t="s">
        <v>191</v>
      </c>
      <c r="C26" s="6" t="s">
        <v>109</v>
      </c>
      <c r="D26" s="6" t="s">
        <v>110</v>
      </c>
      <c r="E26" s="6" t="n">
        <v>2</v>
      </c>
      <c r="F26" s="5" t="s">
        <v>192</v>
      </c>
      <c r="G26" s="5" t="s">
        <v>193</v>
      </c>
      <c r="H26" s="6" t="n">
        <v>1</v>
      </c>
      <c r="I26" s="6" t="n">
        <v>1</v>
      </c>
      <c r="J26" s="6" t="n">
        <v>0.5</v>
      </c>
      <c r="K26" s="6" t="n">
        <v>1</v>
      </c>
      <c r="L26" s="6" t="n">
        <v>1</v>
      </c>
      <c r="M26" s="6" t="n">
        <v>1</v>
      </c>
      <c r="N26" s="6" t="n">
        <v>0.4</v>
      </c>
    </row>
    <row r="27" customFormat="false" ht="15" hidden="false" customHeight="false" outlineLevel="0" collapsed="false">
      <c r="A27" s="6" t="s">
        <v>194</v>
      </c>
      <c r="B27" s="6" t="s">
        <v>191</v>
      </c>
      <c r="C27" s="6" t="s">
        <v>122</v>
      </c>
      <c r="D27" s="6" t="s">
        <v>110</v>
      </c>
      <c r="E27" s="6" t="n">
        <v>1</v>
      </c>
      <c r="F27" s="5" t="s">
        <v>195</v>
      </c>
      <c r="G27" s="5" t="s">
        <v>196</v>
      </c>
      <c r="H27" s="6" t="n">
        <v>1</v>
      </c>
      <c r="I27" s="6" t="n">
        <v>1</v>
      </c>
      <c r="J27" s="6" t="n">
        <v>1</v>
      </c>
      <c r="K27" s="6" t="n">
        <v>1</v>
      </c>
      <c r="L27" s="6" t="n">
        <v>1</v>
      </c>
      <c r="M27" s="6" t="n">
        <v>1</v>
      </c>
      <c r="N27" s="6" t="n">
        <v>0.2</v>
      </c>
    </row>
    <row r="28" customFormat="false" ht="26.85" hidden="false" customHeight="false" outlineLevel="0" collapsed="false">
      <c r="A28" s="6" t="s">
        <v>197</v>
      </c>
      <c r="B28" s="6" t="s">
        <v>191</v>
      </c>
      <c r="C28" s="6" t="s">
        <v>114</v>
      </c>
      <c r="D28" s="6" t="s">
        <v>110</v>
      </c>
      <c r="E28" s="6" t="n">
        <v>2</v>
      </c>
      <c r="F28" s="5" t="s">
        <v>198</v>
      </c>
      <c r="G28" s="5" t="s">
        <v>199</v>
      </c>
      <c r="H28" s="6" t="n">
        <v>1</v>
      </c>
      <c r="I28" s="6" t="n">
        <v>1</v>
      </c>
      <c r="J28" s="6" t="n">
        <v>0.5</v>
      </c>
      <c r="K28" s="6" t="n">
        <v>1</v>
      </c>
      <c r="L28" s="6" t="n">
        <v>1</v>
      </c>
      <c r="M28" s="6" t="n">
        <v>1</v>
      </c>
      <c r="N28" s="6" t="n">
        <v>0.4</v>
      </c>
    </row>
    <row r="29" customFormat="false" ht="26.85" hidden="false" customHeight="false" outlineLevel="0" collapsed="false">
      <c r="A29" s="6" t="s">
        <v>200</v>
      </c>
      <c r="B29" s="6" t="s">
        <v>191</v>
      </c>
      <c r="C29" s="6" t="s">
        <v>118</v>
      </c>
      <c r="D29" s="6" t="s">
        <v>110</v>
      </c>
      <c r="E29" s="6" t="n">
        <v>4</v>
      </c>
      <c r="F29" s="5" t="s">
        <v>201</v>
      </c>
      <c r="G29" s="5" t="s">
        <v>202</v>
      </c>
      <c r="H29" s="6" t="n">
        <v>4</v>
      </c>
      <c r="I29" s="6" t="n">
        <v>0.25</v>
      </c>
      <c r="J29" s="6" t="n">
        <v>0</v>
      </c>
      <c r="K29" s="6" t="n">
        <v>0</v>
      </c>
      <c r="L29" s="6" t="n">
        <v>0.25</v>
      </c>
      <c r="M29" s="6" t="n">
        <v>0.25</v>
      </c>
      <c r="N29" s="6" t="n">
        <v>0.2</v>
      </c>
    </row>
    <row r="30" customFormat="false" ht="26.85" hidden="false" customHeight="false" outlineLevel="0" collapsed="false">
      <c r="A30" s="6" t="s">
        <v>203</v>
      </c>
      <c r="B30" s="6" t="s">
        <v>191</v>
      </c>
      <c r="C30" s="6" t="s">
        <v>118</v>
      </c>
      <c r="D30" s="6" t="s">
        <v>110</v>
      </c>
      <c r="E30" s="6" t="n">
        <v>1</v>
      </c>
      <c r="F30" s="5" t="s">
        <v>119</v>
      </c>
      <c r="G30" s="5" t="s">
        <v>204</v>
      </c>
      <c r="H30" s="6" t="n">
        <v>3</v>
      </c>
      <c r="I30" s="6" t="n">
        <v>0.333</v>
      </c>
      <c r="J30" s="6" t="n">
        <v>0</v>
      </c>
      <c r="K30" s="6" t="n">
        <v>1</v>
      </c>
      <c r="L30" s="6" t="n">
        <v>1</v>
      </c>
      <c r="M30" s="6" t="n">
        <v>1</v>
      </c>
      <c r="N30" s="6" t="n">
        <v>0.2</v>
      </c>
    </row>
    <row r="31" customFormat="false" ht="26.85" hidden="false" customHeight="false" outlineLevel="0" collapsed="false">
      <c r="A31" s="6" t="s">
        <v>205</v>
      </c>
      <c r="B31" s="6" t="s">
        <v>191</v>
      </c>
      <c r="C31" s="6" t="s">
        <v>114</v>
      </c>
      <c r="D31" s="6" t="s">
        <v>110</v>
      </c>
      <c r="E31" s="6" t="n">
        <v>1</v>
      </c>
      <c r="F31" s="5" t="s">
        <v>206</v>
      </c>
      <c r="G31" s="5" t="s">
        <v>207</v>
      </c>
      <c r="H31" s="6" t="n">
        <v>1</v>
      </c>
      <c r="I31" s="6" t="n">
        <v>1</v>
      </c>
      <c r="J31" s="6" t="n">
        <v>1</v>
      </c>
      <c r="K31" s="6" t="n">
        <v>1</v>
      </c>
      <c r="L31" s="6" t="n">
        <v>1</v>
      </c>
      <c r="M31" s="6" t="n">
        <v>1</v>
      </c>
      <c r="N31" s="6" t="n">
        <v>0.2</v>
      </c>
    </row>
    <row r="32" customFormat="false" ht="26.85" hidden="false" customHeight="false" outlineLevel="0" collapsed="false">
      <c r="A32" s="6" t="s">
        <v>208</v>
      </c>
      <c r="B32" s="6" t="s">
        <v>209</v>
      </c>
      <c r="C32" s="6" t="s">
        <v>149</v>
      </c>
      <c r="D32" s="6" t="s">
        <v>210</v>
      </c>
      <c r="E32" s="6" t="n">
        <v>2</v>
      </c>
      <c r="F32" s="5" t="s">
        <v>211</v>
      </c>
      <c r="G32" s="5" t="s">
        <v>212</v>
      </c>
      <c r="H32" s="12" t="s">
        <v>125</v>
      </c>
      <c r="I32" s="6" t="n">
        <v>0</v>
      </c>
      <c r="J32" s="6" t="n">
        <v>0</v>
      </c>
      <c r="K32" s="6" t="n">
        <v>0</v>
      </c>
      <c r="L32" s="6" t="n">
        <v>0</v>
      </c>
      <c r="M32" s="6" t="n">
        <v>0</v>
      </c>
      <c r="N32" s="6" t="n">
        <v>0</v>
      </c>
    </row>
    <row r="33" customFormat="false" ht="15" hidden="false" customHeight="false" outlineLevel="0" collapsed="false">
      <c r="A33" s="6" t="s">
        <v>213</v>
      </c>
      <c r="B33" s="6" t="s">
        <v>209</v>
      </c>
      <c r="C33" s="6" t="s">
        <v>214</v>
      </c>
      <c r="D33" s="6" t="s">
        <v>210</v>
      </c>
      <c r="E33" s="6" t="n">
        <v>2</v>
      </c>
      <c r="F33" s="5" t="s">
        <v>192</v>
      </c>
      <c r="G33" s="5" t="s">
        <v>193</v>
      </c>
      <c r="H33" s="6" t="n">
        <v>1</v>
      </c>
      <c r="I33" s="6" t="n">
        <v>1</v>
      </c>
      <c r="J33" s="6" t="n">
        <v>0.5</v>
      </c>
      <c r="K33" s="6" t="n">
        <v>1</v>
      </c>
      <c r="L33" s="6" t="n">
        <v>1</v>
      </c>
      <c r="M33" s="6" t="n">
        <v>1</v>
      </c>
      <c r="N33" s="6" t="n">
        <v>0.4</v>
      </c>
    </row>
    <row r="34" customFormat="false" ht="26.85" hidden="false" customHeight="false" outlineLevel="0" collapsed="false">
      <c r="A34" s="6" t="s">
        <v>215</v>
      </c>
      <c r="B34" s="6" t="s">
        <v>209</v>
      </c>
      <c r="C34" s="6" t="s">
        <v>149</v>
      </c>
      <c r="D34" s="6" t="s">
        <v>110</v>
      </c>
      <c r="E34" s="6" t="n">
        <v>2</v>
      </c>
      <c r="F34" s="5" t="s">
        <v>111</v>
      </c>
      <c r="G34" s="5" t="s">
        <v>216</v>
      </c>
      <c r="H34" s="6" t="n">
        <v>1</v>
      </c>
      <c r="I34" s="6" t="n">
        <v>1</v>
      </c>
      <c r="J34" s="6" t="n">
        <v>0.5</v>
      </c>
      <c r="K34" s="6" t="n">
        <v>1</v>
      </c>
      <c r="L34" s="6" t="n">
        <v>1</v>
      </c>
      <c r="M34" s="6" t="n">
        <v>1</v>
      </c>
      <c r="N34" s="6" t="n">
        <v>0.4</v>
      </c>
    </row>
    <row r="35" customFormat="false" ht="26.85" hidden="false" customHeight="false" outlineLevel="0" collapsed="false">
      <c r="A35" s="6" t="s">
        <v>217</v>
      </c>
      <c r="B35" s="6" t="s">
        <v>209</v>
      </c>
      <c r="C35" s="6" t="s">
        <v>149</v>
      </c>
      <c r="D35" s="6" t="s">
        <v>110</v>
      </c>
      <c r="E35" s="6" t="n">
        <v>2</v>
      </c>
      <c r="F35" s="5" t="s">
        <v>218</v>
      </c>
      <c r="G35" s="5" t="s">
        <v>219</v>
      </c>
      <c r="H35" s="6" t="n">
        <v>1</v>
      </c>
      <c r="I35" s="6" t="n">
        <v>1</v>
      </c>
      <c r="J35" s="6" t="n">
        <v>0.5</v>
      </c>
      <c r="K35" s="6" t="n">
        <v>0.5</v>
      </c>
      <c r="L35" s="6" t="n">
        <v>0.5</v>
      </c>
      <c r="M35" s="6" t="n">
        <v>0.5</v>
      </c>
      <c r="N35" s="6" t="n">
        <v>0.2</v>
      </c>
    </row>
    <row r="36" customFormat="false" ht="26.85" hidden="false" customHeight="false" outlineLevel="0" collapsed="false">
      <c r="A36" s="6" t="s">
        <v>220</v>
      </c>
      <c r="B36" s="6" t="s">
        <v>209</v>
      </c>
      <c r="C36" s="6" t="s">
        <v>221</v>
      </c>
      <c r="D36" s="6" t="s">
        <v>110</v>
      </c>
      <c r="E36" s="6" t="n">
        <v>2</v>
      </c>
      <c r="F36" s="5" t="s">
        <v>222</v>
      </c>
      <c r="G36" s="5" t="s">
        <v>223</v>
      </c>
      <c r="H36" s="6" t="n">
        <v>1</v>
      </c>
      <c r="I36" s="6" t="n">
        <v>1</v>
      </c>
      <c r="J36" s="6" t="n">
        <v>0.5</v>
      </c>
      <c r="K36" s="6" t="n">
        <v>0.5</v>
      </c>
      <c r="L36" s="6" t="n">
        <v>0.5</v>
      </c>
      <c r="M36" s="6" t="n">
        <v>1</v>
      </c>
      <c r="N36" s="6" t="n">
        <v>0.2</v>
      </c>
    </row>
    <row r="37" customFormat="false" ht="15" hidden="false" customHeight="false" outlineLevel="0" collapsed="false">
      <c r="A37" s="13" t="s">
        <v>224</v>
      </c>
      <c r="B37" s="14"/>
      <c r="C37" s="14"/>
      <c r="D37" s="14"/>
      <c r="E37" s="14"/>
      <c r="F37" s="14"/>
      <c r="G37" s="14"/>
      <c r="H37" s="14"/>
      <c r="I37" s="13" t="n">
        <v>0.802</v>
      </c>
      <c r="J37" s="13" t="n">
        <v>0.433</v>
      </c>
      <c r="K37" s="13" t="n">
        <v>0.733</v>
      </c>
      <c r="L37" s="13" t="n">
        <v>0.807</v>
      </c>
      <c r="M37" s="13" t="n">
        <v>0.821</v>
      </c>
      <c r="N37" s="13" t="n">
        <v>0.303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60"/>
  </cols>
  <sheetData>
    <row r="1" customFormat="false" ht="15" hidden="false" customHeight="false" outlineLevel="0" collapsed="false">
      <c r="A1" s="15" t="s">
        <v>225</v>
      </c>
      <c r="B1" s="15"/>
    </row>
    <row r="2" customFormat="false" ht="15" hidden="false" customHeight="false" outlineLevel="0" collapsed="false">
      <c r="A2" s="16" t="s">
        <v>226</v>
      </c>
      <c r="B2" s="17" t="s">
        <v>227</v>
      </c>
    </row>
    <row r="3" customFormat="false" ht="15" hidden="false" customHeight="false" outlineLevel="0" collapsed="false">
      <c r="A3" s="16" t="s">
        <v>228</v>
      </c>
      <c r="B3" s="17" t="s">
        <v>229</v>
      </c>
    </row>
    <row r="4" customFormat="false" ht="15" hidden="false" customHeight="false" outlineLevel="0" collapsed="false">
      <c r="A4" s="16" t="s">
        <v>230</v>
      </c>
      <c r="B4" s="17" t="s">
        <v>231</v>
      </c>
    </row>
    <row r="5" customFormat="false" ht="15" hidden="false" customHeight="false" outlineLevel="0" collapsed="false">
      <c r="A5" s="16" t="s">
        <v>232</v>
      </c>
      <c r="B5" s="17" t="s">
        <v>233</v>
      </c>
    </row>
    <row r="6" customFormat="false" ht="15" hidden="false" customHeight="false" outlineLevel="0" collapsed="false">
      <c r="A6" s="16" t="s">
        <v>234</v>
      </c>
      <c r="B6" s="17" t="s">
        <v>235</v>
      </c>
    </row>
    <row r="7" customFormat="false" ht="15" hidden="false" customHeight="false" outlineLevel="0" collapsed="false">
      <c r="A7" s="16" t="s">
        <v>236</v>
      </c>
      <c r="B7" s="17" t="s">
        <v>237</v>
      </c>
    </row>
    <row r="8" customFormat="false" ht="15" hidden="false" customHeight="false" outlineLevel="0" collapsed="false">
      <c r="A8" s="16" t="s">
        <v>238</v>
      </c>
      <c r="B8" s="17" t="s">
        <v>239</v>
      </c>
    </row>
    <row r="9" customFormat="false" ht="15" hidden="false" customHeight="false" outlineLevel="0" collapsed="false">
      <c r="A9" s="16" t="s">
        <v>240</v>
      </c>
      <c r="B9" s="17" t="s">
        <v>241</v>
      </c>
    </row>
    <row r="10" customFormat="false" ht="15" hidden="false" customHeight="false" outlineLevel="0" collapsed="false">
      <c r="A10" s="15" t="s">
        <v>242</v>
      </c>
      <c r="B10" s="15"/>
    </row>
    <row r="11" customFormat="false" ht="15" hidden="false" customHeight="false" outlineLevel="0" collapsed="false">
      <c r="A11" s="16" t="s">
        <v>243</v>
      </c>
      <c r="B11" s="17" t="s">
        <v>244</v>
      </c>
    </row>
    <row r="12" customFormat="false" ht="15" hidden="false" customHeight="false" outlineLevel="0" collapsed="false">
      <c r="A12" s="16" t="s">
        <v>245</v>
      </c>
      <c r="B12" s="17" t="s">
        <v>246</v>
      </c>
    </row>
    <row r="13" customFormat="false" ht="15" hidden="false" customHeight="false" outlineLevel="0" collapsed="false">
      <c r="A13" s="16" t="s">
        <v>247</v>
      </c>
      <c r="B13" s="17" t="n">
        <v>0.15</v>
      </c>
    </row>
    <row r="14" customFormat="false" ht="15" hidden="false" customHeight="false" outlineLevel="0" collapsed="false">
      <c r="A14" s="15" t="s">
        <v>248</v>
      </c>
      <c r="B14" s="15"/>
    </row>
    <row r="15" customFormat="false" ht="15" hidden="false" customHeight="false" outlineLevel="0" collapsed="false">
      <c r="A15" s="16" t="s">
        <v>249</v>
      </c>
      <c r="B15" s="17" t="s">
        <v>250</v>
      </c>
    </row>
    <row r="16" customFormat="false" ht="15" hidden="false" customHeight="false" outlineLevel="0" collapsed="false">
      <c r="A16" s="16" t="s">
        <v>251</v>
      </c>
      <c r="B16" s="17" t="s">
        <v>252</v>
      </c>
    </row>
    <row r="17" customFormat="false" ht="15" hidden="false" customHeight="false" outlineLevel="0" collapsed="false">
      <c r="A17" s="16" t="s">
        <v>253</v>
      </c>
      <c r="B17" s="17" t="s">
        <v>254</v>
      </c>
    </row>
    <row r="18" customFormat="false" ht="15" hidden="false" customHeight="false" outlineLevel="0" collapsed="false">
      <c r="A18" s="16" t="s">
        <v>255</v>
      </c>
      <c r="B18" s="17" t="s">
        <v>256</v>
      </c>
    </row>
    <row r="19" customFormat="false" ht="15" hidden="false" customHeight="false" outlineLevel="0" collapsed="false">
      <c r="A19" s="16" t="s">
        <v>257</v>
      </c>
      <c r="B19" s="17" t="s">
        <v>258</v>
      </c>
    </row>
    <row r="20" customFormat="false" ht="15" hidden="false" customHeight="false" outlineLevel="0" collapsed="false">
      <c r="A20" s="15" t="s">
        <v>259</v>
      </c>
      <c r="B20" s="15"/>
    </row>
    <row r="21" customFormat="false" ht="15" hidden="false" customHeight="false" outlineLevel="0" collapsed="false">
      <c r="A21" s="16" t="s">
        <v>260</v>
      </c>
      <c r="B21" s="17" t="n">
        <v>0.019196</v>
      </c>
    </row>
    <row r="22" customFormat="false" ht="15" hidden="false" customHeight="false" outlineLevel="0" collapsed="false">
      <c r="A22" s="16" t="s">
        <v>261</v>
      </c>
      <c r="B22" s="17" t="n">
        <v>0.767858</v>
      </c>
    </row>
    <row r="23" customFormat="false" ht="15" hidden="false" customHeight="false" outlineLevel="0" collapsed="false">
      <c r="A23" s="15" t="s">
        <v>262</v>
      </c>
      <c r="B23" s="15"/>
    </row>
    <row r="24" customFormat="false" ht="15" hidden="false" customHeight="false" outlineLevel="0" collapsed="false">
      <c r="A24" s="16" t="s">
        <v>263</v>
      </c>
      <c r="B24" s="17" t="s">
        <v>264</v>
      </c>
    </row>
    <row r="25" customFormat="false" ht="15" hidden="false" customHeight="false" outlineLevel="0" collapsed="false">
      <c r="A25" s="16" t="s">
        <v>265</v>
      </c>
      <c r="B25" s="17" t="n">
        <v>0</v>
      </c>
    </row>
    <row r="26" customFormat="false" ht="15" hidden="false" customHeight="false" outlineLevel="0" collapsed="false">
      <c r="A26" s="16" t="s">
        <v>266</v>
      </c>
      <c r="B26" s="18" t="b">
        <f aca="false">TRUE()</f>
        <v>1</v>
      </c>
    </row>
  </sheetData>
  <mergeCells count="5">
    <mergeCell ref="A1:B1"/>
    <mergeCell ref="A10:B10"/>
    <mergeCell ref="A14:B14"/>
    <mergeCell ref="A20:B20"/>
    <mergeCell ref="A23:B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2026-07-08T16:39:04Z</dcterms:created>
  <dc:creator>openpyxl</dc:creator>
  <dc:description/>
  <dc:language>en-US</dc:language>
  <cp:lastModifiedBy/>
  <dcterms:modified xsi:type="dcterms:W3CDTF">2026-07-08T16:39:04Z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